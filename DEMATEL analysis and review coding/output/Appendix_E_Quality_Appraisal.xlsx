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ppendix_E" sheetId="2" state="visible" r:id="rId2"/>
    <sheet name="Table_3b" sheetId="3" state="visible" r:id="rId3"/>
  </sheets>
  <definedNames>
    <definedName name="_xlnm._FilterDatabase" localSheetId="1" hidden="1">'Appendix_E'!$A$1:$AG$151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sz val="12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2" fontId="0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Evidence-quality appraisal: summary (live formulas on Appendix_E)</t>
        </is>
      </c>
    </row>
    <row r="3">
      <c r="A3" s="2" t="inlineStr">
        <is>
          <t>Settings (pre-specified; edit to re-run)</t>
        </is>
      </c>
    </row>
    <row r="4">
      <c r="A4" s="3" t="inlineStr">
        <is>
          <t>High tier if score &gt;=</t>
        </is>
      </c>
      <c r="C4" s="4" t="n">
        <v>4</v>
      </c>
    </row>
    <row r="5">
      <c r="A5" s="3" t="inlineStr">
        <is>
          <t>Moderate tier if score &gt;=</t>
        </is>
      </c>
      <c r="C5" s="4" t="n">
        <v>3</v>
      </c>
    </row>
    <row r="6">
      <c r="A6" s="3" t="inlineStr">
        <is>
          <t>Mechanism "Robust" if high-quality studies &gt;=</t>
        </is>
      </c>
      <c r="C6" s="4" t="n">
        <v>5</v>
      </c>
    </row>
    <row r="7">
      <c r="A7" s="3" t="inlineStr">
        <is>
          <t>Mechanism "Partial" if high-quality studies &gt;=</t>
        </is>
      </c>
      <c r="C7" s="4" t="n">
        <v>2</v>
      </c>
    </row>
    <row r="9">
      <c r="A9" s="2" t="inlineStr">
        <is>
          <t>Table S1. Quality tier by technology stream</t>
        </is>
      </c>
    </row>
    <row r="10">
      <c r="A10" s="5" t="inlineStr">
        <is>
          <t>Stream</t>
        </is>
      </c>
      <c r="B10" s="5" t="inlineStr">
        <is>
          <t>High</t>
        </is>
      </c>
      <c r="C10" s="5" t="inlineStr">
        <is>
          <t>Moderate</t>
        </is>
      </c>
      <c r="D10" s="5" t="inlineStr">
        <is>
          <t>Low</t>
        </is>
      </c>
      <c r="E10" s="5" t="inlineStr">
        <is>
          <t>Not appraised</t>
        </is>
      </c>
      <c r="F10" s="5" t="inlineStr">
        <is>
          <t>Total</t>
        </is>
      </c>
      <c r="G10" s="5" t="inlineStr">
        <is>
          <t>Appraised</t>
        </is>
      </c>
      <c r="H10" s="5" t="inlineStr">
        <is>
          <t>% High</t>
        </is>
      </c>
      <c r="I10" s="5" t="inlineStr">
        <is>
          <t>% Moderate</t>
        </is>
      </c>
      <c r="J10" s="5" t="inlineStr">
        <is>
          <t>% Low</t>
        </is>
      </c>
      <c r="K10" s="5" t="inlineStr">
        <is>
          <t>Mean score</t>
        </is>
      </c>
    </row>
    <row r="11">
      <c r="A11" s="3" t="inlineStr">
        <is>
          <t>Analytics</t>
        </is>
      </c>
      <c r="B11" s="3">
        <f>COUNTIFS(Appendix_E!$B$2:$B$151,$A11,Appendix_E!$P$2:$P$151,"High")</f>
        <v/>
      </c>
      <c r="C11" s="3">
        <f>COUNTIFS(Appendix_E!$B$2:$B$151,$A11,Appendix_E!$P$2:$P$151,"Moderate")</f>
        <v/>
      </c>
      <c r="D11" s="3">
        <f>COUNTIFS(Appendix_E!$B$2:$B$151,$A11,Appendix_E!$P$2:$P$151,"Low")</f>
        <v/>
      </c>
      <c r="E11" s="3">
        <f>COUNTIFS(Appendix_E!$B$2:$B$151,$A11,Appendix_E!$P$2:$P$151,"Not appraised")</f>
        <v/>
      </c>
      <c r="F11" s="3">
        <f>SUM(B11:E11)</f>
        <v/>
      </c>
      <c r="G11" s="3">
        <f>B11+C11+D11</f>
        <v/>
      </c>
      <c r="H11" s="6">
        <f>IFERROR(B11/$G11,0)</f>
        <v/>
      </c>
      <c r="I11" s="6">
        <f>IFERROR(C11/$G11,0)</f>
        <v/>
      </c>
      <c r="J11" s="6">
        <f>IFERROR(D11/$G11,0)</f>
        <v/>
      </c>
      <c r="K11" s="7">
        <f>IFERROR(AVERAGEIFS(Appendix_E!$O$2:$O$151,Appendix_E!$B$2:$B$151,$A11),"")</f>
        <v/>
      </c>
    </row>
    <row r="12">
      <c r="A12" s="3" t="inlineStr">
        <is>
          <t>Blockchain</t>
        </is>
      </c>
      <c r="B12" s="3">
        <f>COUNTIFS(Appendix_E!$B$2:$B$151,$A12,Appendix_E!$P$2:$P$151,"High")</f>
        <v/>
      </c>
      <c r="C12" s="3">
        <f>COUNTIFS(Appendix_E!$B$2:$B$151,$A12,Appendix_E!$P$2:$P$151,"Moderate")</f>
        <v/>
      </c>
      <c r="D12" s="3">
        <f>COUNTIFS(Appendix_E!$B$2:$B$151,$A12,Appendix_E!$P$2:$P$151,"Low")</f>
        <v/>
      </c>
      <c r="E12" s="3">
        <f>COUNTIFS(Appendix_E!$B$2:$B$151,$A12,Appendix_E!$P$2:$P$151,"Not appraised")</f>
        <v/>
      </c>
      <c r="F12" s="3">
        <f>SUM(B12:E12)</f>
        <v/>
      </c>
      <c r="G12" s="3">
        <f>B12+C12+D12</f>
        <v/>
      </c>
      <c r="H12" s="6">
        <f>IFERROR(B12/$G12,0)</f>
        <v/>
      </c>
      <c r="I12" s="6">
        <f>IFERROR(C12/$G12,0)</f>
        <v/>
      </c>
      <c r="J12" s="6">
        <f>IFERROR(D12/$G12,0)</f>
        <v/>
      </c>
      <c r="K12" s="7">
        <f>IFERROR(AVERAGEIFS(Appendix_E!$O$2:$O$151,Appendix_E!$B$2:$B$151,$A12),"")</f>
        <v/>
      </c>
    </row>
    <row r="13">
      <c r="A13" s="3" t="inlineStr">
        <is>
          <t>Integrated</t>
        </is>
      </c>
      <c r="B13" s="3">
        <f>COUNTIFS(Appendix_E!$B$2:$B$151,$A13,Appendix_E!$P$2:$P$151,"High")</f>
        <v/>
      </c>
      <c r="C13" s="3">
        <f>COUNTIFS(Appendix_E!$B$2:$B$151,$A13,Appendix_E!$P$2:$P$151,"Moderate")</f>
        <v/>
      </c>
      <c r="D13" s="3">
        <f>COUNTIFS(Appendix_E!$B$2:$B$151,$A13,Appendix_E!$P$2:$P$151,"Low")</f>
        <v/>
      </c>
      <c r="E13" s="3">
        <f>COUNTIFS(Appendix_E!$B$2:$B$151,$A13,Appendix_E!$P$2:$P$151,"Not appraised")</f>
        <v/>
      </c>
      <c r="F13" s="3">
        <f>SUM(B13:E13)</f>
        <v/>
      </c>
      <c r="G13" s="3">
        <f>B13+C13+D13</f>
        <v/>
      </c>
      <c r="H13" s="6">
        <f>IFERROR(B13/$G13,0)</f>
        <v/>
      </c>
      <c r="I13" s="6">
        <f>IFERROR(C13/$G13,0)</f>
        <v/>
      </c>
      <c r="J13" s="6">
        <f>IFERROR(D13/$G13,0)</f>
        <v/>
      </c>
      <c r="K13" s="7">
        <f>IFERROR(AVERAGEIFS(Appendix_E!$O$2:$O$151,Appendix_E!$B$2:$B$151,$A13),"")</f>
        <v/>
      </c>
    </row>
    <row r="14">
      <c r="A14" s="2" t="inlineStr">
        <is>
          <t>Total</t>
        </is>
      </c>
      <c r="B14" s="2">
        <f>SUM(B11:B13)</f>
        <v/>
      </c>
      <c r="C14" s="2">
        <f>SUM(C11:C13)</f>
        <v/>
      </c>
      <c r="D14" s="2">
        <f>SUM(D11:D13)</f>
        <v/>
      </c>
      <c r="E14" s="2">
        <f>SUM(E11:E13)</f>
        <v/>
      </c>
      <c r="F14" s="2">
        <f>SUM(F11:F13)</f>
        <v/>
      </c>
      <c r="G14" s="2">
        <f>SUM(G11:G13)</f>
        <v/>
      </c>
      <c r="H14" s="8">
        <f>IFERROR(B14/$G14,0)</f>
        <v/>
      </c>
      <c r="I14" s="8">
        <f>IFERROR(C14/$G14,0)</f>
        <v/>
      </c>
      <c r="J14" s="8">
        <f>IFERROR(D14/$G14,0)</f>
        <v/>
      </c>
      <c r="K14" s="9">
        <f>IFERROR(AVERAGE(Appendix_E!$O$2:$O$151),"")</f>
        <v/>
      </c>
    </row>
    <row r="17">
      <c r="A17" s="2" t="inlineStr">
        <is>
          <t>Table S2. Study design profile</t>
        </is>
      </c>
    </row>
    <row r="18">
      <c r="A18" s="5" t="inlineStr">
        <is>
          <t>Design</t>
        </is>
      </c>
      <c r="B18" s="5" t="inlineStr">
        <is>
          <t>Studies</t>
        </is>
      </c>
      <c r="C18" s="5" t="inlineStr">
        <is>
          <t>% of appraised</t>
        </is>
      </c>
    </row>
    <row r="19">
      <c r="A19" s="3" t="inlineStr">
        <is>
          <t>Cross-sectional single-source survey</t>
        </is>
      </c>
      <c r="B19" s="3">
        <f>COUNTIF(Appendix_E!$H$2:$H$151,A19)</f>
        <v/>
      </c>
      <c r="C19" s="10">
        <f>IFERROR(B19/$G$14,0)</f>
        <v/>
      </c>
    </row>
    <row r="20">
      <c r="A20" s="3" t="inlineStr">
        <is>
          <t>Multi-wave / multi-respondent survey</t>
        </is>
      </c>
      <c r="B20" s="3">
        <f>COUNTIF(Appendix_E!$H$2:$H$151,A20)</f>
        <v/>
      </c>
      <c r="C20" s="10">
        <f>IFERROR(B20/$G$14,0)</f>
        <v/>
      </c>
    </row>
    <row r="21">
      <c r="A21" s="3" t="inlineStr">
        <is>
          <t>Mixed / multi-source</t>
        </is>
      </c>
      <c r="B21" s="3">
        <f>COUNTIF(Appendix_E!$H$2:$H$151,A21)</f>
        <v/>
      </c>
      <c r="C21" s="10">
        <f>IFERROR(B21/$G$14,0)</f>
        <v/>
      </c>
    </row>
    <row r="22">
      <c r="A22" s="3" t="inlineStr">
        <is>
          <t>Qualitative / case study</t>
        </is>
      </c>
      <c r="B22" s="3">
        <f>COUNTIF(Appendix_E!$H$2:$H$151,A22)</f>
        <v/>
      </c>
      <c r="C22" s="10">
        <f>IFERROR(B22/$G$14,0)</f>
        <v/>
      </c>
    </row>
    <row r="23">
      <c r="A23" s="3" t="inlineStr">
        <is>
          <t>Quasi-experimental / archival / panel</t>
        </is>
      </c>
      <c r="B23" s="3">
        <f>COUNTIF(Appendix_E!$H$2:$H$151,A23)</f>
        <v/>
      </c>
      <c r="C23" s="10">
        <f>IFERROR(B23/$G$14,0)</f>
        <v/>
      </c>
    </row>
    <row r="24">
      <c r="A24" s="3" t="inlineStr">
        <is>
          <t>Experimental (vignette / between-subjects)</t>
        </is>
      </c>
      <c r="B24" s="3">
        <f>COUNTIF(Appendix_E!$H$2:$H$151,A24)</f>
        <v/>
      </c>
      <c r="C24" s="10">
        <f>IFERROR(B24/$G$14,0)</f>
        <v/>
      </c>
    </row>
    <row r="25">
      <c r="A25" s="3" t="inlineStr">
        <is>
          <t>Meta-analysis</t>
        </is>
      </c>
      <c r="B25" s="3">
        <f>COUNTIF(Appendix_E!$H$2:$H$151,A25)</f>
        <v/>
      </c>
      <c r="C25" s="10">
        <f>IFERROR(B25/$G$14,0)</f>
        <v/>
      </c>
    </row>
    <row r="28">
      <c r="A28" s="2" t="inlineStr">
        <is>
          <t>Table S3. Share of appraised studies meeting each criterion</t>
        </is>
      </c>
    </row>
    <row r="29">
      <c r="A29" s="5" t="inlineStr">
        <is>
          <t>Criterion</t>
        </is>
      </c>
      <c r="B29" s="5" t="inlineStr">
        <is>
          <t>Met (%)</t>
        </is>
      </c>
    </row>
    <row r="30">
      <c r="A30" s="3" t="inlineStr">
        <is>
          <t>Q1 Design strength</t>
        </is>
      </c>
      <c r="B30" s="10">
        <f>AVERAGE(Appendix_E!$J$2:$J$151)</f>
        <v/>
      </c>
    </row>
    <row r="31">
      <c r="A31" s="3" t="inlineStr">
        <is>
          <t>Q2 Sample adequacy</t>
        </is>
      </c>
      <c r="B31" s="10">
        <f>AVERAGE(Appendix_E!$K$2:$K$151)</f>
        <v/>
      </c>
    </row>
    <row r="32">
      <c r="A32" s="3" t="inlineStr">
        <is>
          <t>Q3 Measurement / data credibility</t>
        </is>
      </c>
      <c r="B32" s="10">
        <f>AVERAGE(Appendix_E!$L$2:$L$151)</f>
        <v/>
      </c>
    </row>
    <row r="33">
      <c r="A33" s="3" t="inlineStr">
        <is>
          <t>Q4 Bias control</t>
        </is>
      </c>
      <c r="B33" s="10">
        <f>AVERAGE(Appendix_E!$M$2:$M$151)</f>
        <v/>
      </c>
    </row>
    <row r="34">
      <c r="A34" s="3" t="inlineStr">
        <is>
          <t>Q5 Analytical rigour</t>
        </is>
      </c>
      <c r="B34" s="10">
        <f>AVERAGE(Appendix_E!$N$2:$N$151)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9" customWidth="1" min="3" max="3"/>
    <col width="44" customWidth="1" min="4" max="4"/>
    <col width="24" customWidth="1" min="5" max="5"/>
    <col width="30" customWidth="1" min="6" max="6"/>
    <col width="16" customWidth="1" min="7" max="7"/>
    <col width="34" customWidth="1" min="8" max="8"/>
    <col width="7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45" customWidth="1" min="33" max="33"/>
  </cols>
  <sheetData>
    <row r="1" ht="45" customHeight="1">
      <c r="A1" s="11" t="inlineStr">
        <is>
          <t>ID</t>
        </is>
      </c>
      <c r="B1" s="11" t="inlineStr">
        <is>
          <t>Stream</t>
        </is>
      </c>
      <c r="C1" s="11" t="inlineStr">
        <is>
          <t>Theme</t>
        </is>
      </c>
      <c r="D1" s="11" t="inlineStr">
        <is>
          <t>Study</t>
        </is>
      </c>
      <c r="E1" s="11" t="inlineStr">
        <is>
          <t>Sector</t>
        </is>
      </c>
      <c r="F1" s="11" t="inlineStr">
        <is>
          <t>Theoretical lens</t>
        </is>
      </c>
      <c r="G1" s="11" t="inlineStr">
        <is>
          <t>Resilience dimension</t>
        </is>
      </c>
      <c r="H1" s="11" t="inlineStr">
        <is>
          <t>Design</t>
        </is>
      </c>
      <c r="I1" s="11" t="inlineStr">
        <is>
          <t>n</t>
        </is>
      </c>
      <c r="J1" s="11" t="inlineStr">
        <is>
          <t>Q1 Design strength</t>
        </is>
      </c>
      <c r="K1" s="11" t="inlineStr">
        <is>
          <t>Q2 Sample adequacy</t>
        </is>
      </c>
      <c r="L1" s="11" t="inlineStr">
        <is>
          <t>Q3 Measurement/data</t>
        </is>
      </c>
      <c r="M1" s="11" t="inlineStr">
        <is>
          <t>Q4 Bias control</t>
        </is>
      </c>
      <c r="N1" s="11" t="inlineStr">
        <is>
          <t>Q5 Analysis</t>
        </is>
      </c>
      <c r="O1" s="11" t="inlineStr">
        <is>
          <t>Score (0-5)</t>
        </is>
      </c>
      <c r="P1" s="11" t="inlineStr">
        <is>
          <t>Tier</t>
        </is>
      </c>
      <c r="Q1" s="11" t="inlineStr">
        <is>
          <t>F1 Transparency</t>
        </is>
      </c>
      <c r="R1" s="11" t="inlineStr">
        <is>
          <t>F2 Traceability</t>
        </is>
      </c>
      <c r="S1" s="11" t="inlineStr">
        <is>
          <t>F3 Data integrity</t>
        </is>
      </c>
      <c r="T1" s="11" t="inlineStr">
        <is>
          <t>F4 Information sharing</t>
        </is>
      </c>
      <c r="U1" s="11" t="inlineStr">
        <is>
          <t>F5 Trust</t>
        </is>
      </c>
      <c r="V1" s="11" t="inlineStr">
        <is>
          <t>F6 Risk sensing</t>
        </is>
      </c>
      <c r="W1" s="11" t="inlineStr">
        <is>
          <t>F7 Predictive capability</t>
        </is>
      </c>
      <c r="X1" s="11" t="inlineStr">
        <is>
          <t>F8 Analytics capability</t>
        </is>
      </c>
      <c r="Y1" s="11" t="inlineStr">
        <is>
          <t>F9 Supply chain visibility</t>
        </is>
      </c>
      <c r="Z1" s="11" t="inlineStr">
        <is>
          <t>F10 Decision intelligence</t>
        </is>
      </c>
      <c r="AA1" s="11" t="inlineStr">
        <is>
          <t>F11 Collaborative decision-making</t>
        </is>
      </c>
      <c r="AB1" s="11" t="inlineStr">
        <is>
          <t>F12 Agile response</t>
        </is>
      </c>
      <c r="AC1" s="11" t="inlineStr">
        <is>
          <t>F13 Recovery capability</t>
        </is>
      </c>
      <c r="AD1" s="11" t="inlineStr">
        <is>
          <t>F14 Continuity planning</t>
        </is>
      </c>
      <c r="AE1" s="11" t="inlineStr">
        <is>
          <t>F15 Organizational learning</t>
        </is>
      </c>
      <c r="AF1" s="11" t="inlineStr">
        <is>
          <t>Null/mixed finding flag</t>
        </is>
      </c>
      <c r="AG1" s="11" t="inlineStr">
        <is>
          <t>Rule notes</t>
        </is>
      </c>
    </row>
    <row r="2">
      <c r="A2" s="3" t="inlineStr">
        <is>
          <t>A001</t>
        </is>
      </c>
      <c r="B2" s="3" t="inlineStr">
        <is>
          <t>Analytics</t>
        </is>
      </c>
      <c r="C2" s="3" t="inlineStr">
        <is>
          <t>Theme 3</t>
        </is>
      </c>
      <c r="D2" s="3" t="inlineStr">
        <is>
          <t>Fernando &amp; Ikhsan, 2023</t>
        </is>
      </c>
      <c r="E2" s="3" t="inlineStr">
        <is>
          <t xml:space="preserve">Manufacturing </t>
        </is>
      </c>
      <c r="F2" s="3" t="inlineStr">
        <is>
          <t>Not stated</t>
        </is>
      </c>
      <c r="G2" s="3" t="inlineStr">
        <is>
          <t>Adaptability</t>
        </is>
      </c>
      <c r="H2" s="3" t="inlineStr">
        <is>
          <t>Cross-sectional single-source survey</t>
        </is>
      </c>
      <c r="I2" s="3" t="n">
        <v>375</v>
      </c>
      <c r="J2" s="4" t="n">
        <v>0</v>
      </c>
      <c r="K2" s="4" t="n">
        <v>1</v>
      </c>
      <c r="L2" s="4" t="n">
        <v>0</v>
      </c>
      <c r="M2" s="4" t="n">
        <v>0</v>
      </c>
      <c r="N2" s="4" t="n">
        <v>0</v>
      </c>
      <c r="O2" s="3">
        <f>IF(COUNT(J2:N2)=0,"",SUM(J2:N2))</f>
        <v/>
      </c>
      <c r="P2" s="3">
        <f>IF(O2="","Not appraised",IF(O2&gt;=Summary!$C$4,"High",IF(O2&gt;=Summary!$C$5,"Moderate","Low")))</f>
        <v/>
      </c>
      <c r="Q2" s="4" t="n">
        <v>0</v>
      </c>
      <c r="R2" s="4" t="n">
        <v>0</v>
      </c>
      <c r="S2" s="4" t="n">
        <v>1</v>
      </c>
      <c r="T2" s="4" t="n">
        <v>1</v>
      </c>
      <c r="U2" s="4" t="n">
        <v>0</v>
      </c>
      <c r="V2" s="4" t="n">
        <v>1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  <c r="AB2" s="4" t="n">
        <v>0</v>
      </c>
      <c r="AC2" s="4" t="n">
        <v>0</v>
      </c>
      <c r="AD2" s="4" t="n">
        <v>0</v>
      </c>
      <c r="AE2" s="4" t="n">
        <v>0</v>
      </c>
      <c r="AF2" s="3" t="n">
        <v>0</v>
      </c>
      <c r="AG2" s="3" t="inlineStr"/>
    </row>
    <row r="3">
      <c r="A3" s="3" t="inlineStr">
        <is>
          <t>A002</t>
        </is>
      </c>
      <c r="B3" s="3" t="inlineStr">
        <is>
          <t>Analytics</t>
        </is>
      </c>
      <c r="C3" s="3" t="inlineStr">
        <is>
          <t>Theme 4</t>
        </is>
      </c>
      <c r="D3" s="3" t="inlineStr">
        <is>
          <t>Xu &amp; Liu, 2024</t>
        </is>
      </c>
      <c r="E3" s="3" t="inlineStr">
        <is>
          <t xml:space="preserve">Manufacturing </t>
        </is>
      </c>
      <c r="F3" s="3" t="inlineStr">
        <is>
          <t xml:space="preserve">Cognitive-behavioral theory </t>
        </is>
      </c>
      <c r="G3" s="3" t="inlineStr">
        <is>
          <t>Resilience</t>
        </is>
      </c>
      <c r="H3" s="3" t="inlineStr">
        <is>
          <t>Multi-wave / multi-respondent survey</t>
        </is>
      </c>
      <c r="I3" s="3" t="n">
        <v>164</v>
      </c>
      <c r="J3" s="4" t="n">
        <v>1</v>
      </c>
      <c r="K3" s="4" t="n">
        <v>1</v>
      </c>
      <c r="L3" s="4" t="n">
        <v>0</v>
      </c>
      <c r="M3" s="4" t="n">
        <v>1</v>
      </c>
      <c r="N3" s="4" t="n">
        <v>0</v>
      </c>
      <c r="O3" s="3">
        <f>IF(COUNT(J3:N3)=0,"",SUM(J3:N3))</f>
        <v/>
      </c>
      <c r="P3" s="3">
        <f>IF(O3="","Not appraised",IF(O3&gt;=Summary!$C$4,"High",IF(O3&gt;=Summary!$C$5,"Moderate","Low")))</f>
        <v/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1</v>
      </c>
      <c r="Y3" s="4" t="n">
        <v>0</v>
      </c>
      <c r="Z3" s="4" t="n">
        <v>0</v>
      </c>
      <c r="AA3" s="4" t="n">
        <v>0</v>
      </c>
      <c r="AB3" s="4" t="n">
        <v>0</v>
      </c>
      <c r="AC3" s="4" t="n">
        <v>0</v>
      </c>
      <c r="AD3" s="4" t="n">
        <v>0</v>
      </c>
      <c r="AE3" s="4" t="n">
        <v>1</v>
      </c>
      <c r="AF3" s="3" t="n">
        <v>1</v>
      </c>
      <c r="AG3" s="3" t="inlineStr"/>
    </row>
    <row r="4">
      <c r="A4" s="3" t="inlineStr">
        <is>
          <t>A003</t>
        </is>
      </c>
      <c r="B4" s="3" t="inlineStr">
        <is>
          <t>Analytics</t>
        </is>
      </c>
      <c r="C4" s="3" t="inlineStr">
        <is>
          <t>Theme 3</t>
        </is>
      </c>
      <c r="D4" s="3" t="inlineStr">
        <is>
          <t>Trabucco &amp; De Giovanni, 2021</t>
        </is>
      </c>
      <c r="E4" s="3" t="inlineStr">
        <is>
          <t xml:space="preserve">Mixed sectors </t>
        </is>
      </c>
      <c r="F4" s="3" t="inlineStr">
        <is>
          <t>Not stated</t>
        </is>
      </c>
      <c r="G4" s="3" t="inlineStr">
        <is>
          <t>Viability</t>
        </is>
      </c>
      <c r="H4" s="3" t="inlineStr">
        <is>
          <t>Cross-sectional single-source survey</t>
        </is>
      </c>
      <c r="I4" s="3" t="n">
        <v>119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3">
        <f>IF(COUNT(J4:N4)=0,"",SUM(J4:N4))</f>
        <v/>
      </c>
      <c r="P4" s="3">
        <f>IF(O4="","Not appraised",IF(O4&gt;=Summary!$C$4,"High",IF(O4&gt;=Summary!$C$5,"Moderate","Low")))</f>
        <v/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1</v>
      </c>
      <c r="Y4" s="4" t="n">
        <v>0</v>
      </c>
      <c r="Z4" s="4" t="n">
        <v>0</v>
      </c>
      <c r="AA4" s="4" t="n">
        <v>1</v>
      </c>
      <c r="AB4" s="4" t="n">
        <v>0</v>
      </c>
      <c r="AC4" s="4" t="n">
        <v>1</v>
      </c>
      <c r="AD4" s="4" t="n">
        <v>0</v>
      </c>
      <c r="AE4" s="4" t="n">
        <v>1</v>
      </c>
      <c r="AF4" s="3" t="n">
        <v>1</v>
      </c>
      <c r="AG4" s="3" t="inlineStr"/>
    </row>
    <row r="5">
      <c r="A5" s="3" t="inlineStr">
        <is>
          <t>A004</t>
        </is>
      </c>
      <c r="B5" s="3" t="inlineStr">
        <is>
          <t>Analytics</t>
        </is>
      </c>
      <c r="C5" s="3" t="inlineStr">
        <is>
          <t>Theme 4</t>
        </is>
      </c>
      <c r="D5" s="3" t="inlineStr">
        <is>
          <t>Jiang, Feng &amp; Huang, 2024</t>
        </is>
      </c>
      <c r="E5" s="3" t="inlineStr">
        <is>
          <t xml:space="preserve">Manufacturing </t>
        </is>
      </c>
      <c r="F5" s="3" t="inlineStr">
        <is>
          <t>Resource orchestration theory</t>
        </is>
      </c>
      <c r="G5" s="3" t="inlineStr">
        <is>
          <t>Resilience</t>
        </is>
      </c>
      <c r="H5" s="3" t="inlineStr">
        <is>
          <t>Mixed / multi-source</t>
        </is>
      </c>
      <c r="I5" s="3" t="n">
        <v>277</v>
      </c>
      <c r="J5" s="4" t="n">
        <v>1</v>
      </c>
      <c r="K5" s="4" t="n">
        <v>1</v>
      </c>
      <c r="L5" s="4" t="n">
        <v>0</v>
      </c>
      <c r="M5" s="4" t="n">
        <v>1</v>
      </c>
      <c r="N5" s="4" t="n">
        <v>1</v>
      </c>
      <c r="O5" s="3">
        <f>IF(COUNT(J5:N5)=0,"",SUM(J5:N5))</f>
        <v/>
      </c>
      <c r="P5" s="3">
        <f>IF(O5="","Not appraised",IF(O5&gt;=Summary!$C$4,"High",IF(O5&gt;=Summary!$C$5,"Moderate","Low")))</f>
        <v/>
      </c>
      <c r="Q5" s="4" t="n">
        <v>0</v>
      </c>
      <c r="R5" s="4" t="n">
        <v>0</v>
      </c>
      <c r="S5" s="4" t="n">
        <v>0</v>
      </c>
      <c r="T5" s="4" t="n">
        <v>1</v>
      </c>
      <c r="U5" s="4" t="n">
        <v>0</v>
      </c>
      <c r="V5" s="4" t="n">
        <v>0</v>
      </c>
      <c r="W5" s="4" t="n">
        <v>0</v>
      </c>
      <c r="X5" s="4" t="n">
        <v>1</v>
      </c>
      <c r="Y5" s="4" t="n">
        <v>0</v>
      </c>
      <c r="Z5" s="4" t="n">
        <v>1</v>
      </c>
      <c r="AA5" s="4" t="n">
        <v>0</v>
      </c>
      <c r="AB5" s="4" t="n">
        <v>0</v>
      </c>
      <c r="AC5" s="4" t="n">
        <v>1</v>
      </c>
      <c r="AD5" s="4" t="n">
        <v>0</v>
      </c>
      <c r="AE5" s="4" t="n">
        <v>0</v>
      </c>
      <c r="AF5" s="3" t="n">
        <v>0</v>
      </c>
      <c r="AG5" s="3" t="inlineStr"/>
    </row>
    <row r="6">
      <c r="A6" s="3" t="inlineStr">
        <is>
          <t>A005</t>
        </is>
      </c>
      <c r="B6" s="3" t="inlineStr">
        <is>
          <t>Analytics</t>
        </is>
      </c>
      <c r="C6" s="3" t="inlineStr">
        <is>
          <t>Theme 2</t>
        </is>
      </c>
      <c r="D6" s="3" t="inlineStr">
        <is>
          <t>Singh, Sharma, Singh &amp; Rana, 2025</t>
        </is>
      </c>
      <c r="E6" s="3" t="inlineStr">
        <is>
          <t xml:space="preserve"> Supply chain professionals</t>
        </is>
      </c>
      <c r="F6" s="3" t="inlineStr">
        <is>
          <t>Dynamic capability view</t>
        </is>
      </c>
      <c r="G6" s="3" t="inlineStr">
        <is>
          <t>Transparency</t>
        </is>
      </c>
      <c r="H6" s="3" t="inlineStr">
        <is>
          <t>Mixed / multi-source</t>
        </is>
      </c>
      <c r="I6" s="3" t="n">
        <v>229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0</v>
      </c>
      <c r="O6" s="3">
        <f>IF(COUNT(J6:N6)=0,"",SUM(J6:N6))</f>
        <v/>
      </c>
      <c r="P6" s="3">
        <f>IF(O6="","Not appraised",IF(O6&gt;=Summary!$C$4,"High",IF(O6&gt;=Summary!$C$5,"Moderate","Low")))</f>
        <v/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1</v>
      </c>
      <c r="X6" s="4" t="n">
        <v>1</v>
      </c>
      <c r="Y6" s="4" t="n">
        <v>1</v>
      </c>
      <c r="Z6" s="4" t="n">
        <v>0</v>
      </c>
      <c r="AA6" s="4" t="n">
        <v>0</v>
      </c>
      <c r="AB6" s="4" t="n">
        <v>1</v>
      </c>
      <c r="AC6" s="4" t="n">
        <v>0</v>
      </c>
      <c r="AD6" s="4" t="n">
        <v>0</v>
      </c>
      <c r="AE6" s="4" t="n">
        <v>0</v>
      </c>
      <c r="AF6" s="3" t="n">
        <v>0</v>
      </c>
      <c r="AG6" s="3" t="inlineStr"/>
    </row>
    <row r="7">
      <c r="A7" s="3" t="inlineStr">
        <is>
          <t>A006</t>
        </is>
      </c>
      <c r="B7" s="3" t="inlineStr">
        <is>
          <t>Analytics</t>
        </is>
      </c>
      <c r="C7" s="3" t="inlineStr">
        <is>
          <t>Theme 4</t>
        </is>
      </c>
      <c r="D7" s="3" t="inlineStr">
        <is>
          <t>Kumar &amp; Raj, 2025</t>
        </is>
      </c>
      <c r="E7" s="3" t="inlineStr">
        <is>
          <t xml:space="preserve">Multiple industries </t>
        </is>
      </c>
      <c r="F7" s="3" t="inlineStr">
        <is>
          <t xml:space="preserve">Organizational information processing theory </t>
        </is>
      </c>
      <c r="G7" s="3" t="inlineStr">
        <is>
          <t>Resilience</t>
        </is>
      </c>
      <c r="H7" s="3" t="inlineStr">
        <is>
          <t>Meta-analysis</t>
        </is>
      </c>
      <c r="I7" s="3" t="n">
        <v>205</v>
      </c>
      <c r="J7" s="4" t="n">
        <v>1</v>
      </c>
      <c r="K7" s="4" t="n">
        <v>1</v>
      </c>
      <c r="L7" s="4" t="n">
        <v>1</v>
      </c>
      <c r="M7" s="4" t="n">
        <v>1</v>
      </c>
      <c r="N7" s="4" t="n">
        <v>1</v>
      </c>
      <c r="O7" s="3">
        <f>IF(COUNT(J7:N7)=0,"",SUM(J7:N7))</f>
        <v/>
      </c>
      <c r="P7" s="3">
        <f>IF(O7="","Not appraised",IF(O7&gt;=Summary!$C$4,"High",IF(O7&gt;=Summary!$C$5,"Moderate","Low")))</f>
        <v/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1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3" t="n">
        <v>0</v>
      </c>
      <c r="AG7" s="3" t="inlineStr"/>
    </row>
    <row r="8">
      <c r="A8" s="3" t="inlineStr">
        <is>
          <t>A007</t>
        </is>
      </c>
      <c r="B8" s="3" t="inlineStr">
        <is>
          <t>Analytics</t>
        </is>
      </c>
      <c r="C8" s="3" t="inlineStr">
        <is>
          <t>Theme 4</t>
        </is>
      </c>
      <c r="D8" s="3" t="inlineStr">
        <is>
          <t>Wamba et al., 2017</t>
        </is>
      </c>
      <c r="E8" s="3" t="inlineStr">
        <is>
          <t>Cross-industry</t>
        </is>
      </c>
      <c r="F8" s="3" t="inlineStr">
        <is>
          <t xml:space="preserve">Resource-based view </t>
        </is>
      </c>
      <c r="G8" s="3" t="inlineStr">
        <is>
          <t>Dynamic capability</t>
        </is>
      </c>
      <c r="H8" s="3" t="inlineStr">
        <is>
          <t>Cross-sectional single-source survey</t>
        </is>
      </c>
      <c r="I8" s="3" t="n">
        <v>297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  <c r="O8" s="3">
        <f>IF(COUNT(J8:N8)=0,"",SUM(J8:N8))</f>
        <v/>
      </c>
      <c r="P8" s="3">
        <f>IF(O8="","Not appraised",IF(O8&gt;=Summary!$C$4,"High",IF(O8&gt;=Summary!$C$5,"Moderate","Low")))</f>
        <v/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1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3" t="n">
        <v>0</v>
      </c>
      <c r="AG8" s="3" t="inlineStr"/>
    </row>
    <row r="9">
      <c r="A9" s="3" t="inlineStr">
        <is>
          <t>A008</t>
        </is>
      </c>
      <c r="B9" s="3" t="inlineStr">
        <is>
          <t>Analytics</t>
        </is>
      </c>
      <c r="C9" s="3" t="inlineStr">
        <is>
          <t>Theme 2</t>
        </is>
      </c>
      <c r="D9" s="3" t="inlineStr">
        <is>
          <t>Rialti, Zollo, Ferraris &amp; Alon, 2019</t>
        </is>
      </c>
      <c r="E9" s="3" t="inlineStr">
        <is>
          <t xml:space="preserve">Multiple industries </t>
        </is>
      </c>
      <c r="F9" s="3" t="inlineStr">
        <is>
          <t>Dynamic capabilities view</t>
        </is>
      </c>
      <c r="G9" s="3" t="inlineStr">
        <is>
          <t>Agility</t>
        </is>
      </c>
      <c r="H9" s="3" t="inlineStr">
        <is>
          <t>Cross-sectional single-source survey</t>
        </is>
      </c>
      <c r="I9" s="3" t="n">
        <v>259</v>
      </c>
      <c r="J9" s="4" t="n">
        <v>0</v>
      </c>
      <c r="K9" s="4" t="n">
        <v>1</v>
      </c>
      <c r="L9" s="4" t="n">
        <v>0</v>
      </c>
      <c r="M9" s="4" t="n">
        <v>0</v>
      </c>
      <c r="N9" s="4" t="n">
        <v>1</v>
      </c>
      <c r="O9" s="3">
        <f>IF(COUNT(J9:N9)=0,"",SUM(J9:N9))</f>
        <v/>
      </c>
      <c r="P9" s="3">
        <f>IF(O9="","Not appraised",IF(O9&gt;=Summary!$C$4,"High",IF(O9&gt;=Summary!$C$5,"Moderate","Low")))</f>
        <v/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1</v>
      </c>
      <c r="Y9" s="4" t="n">
        <v>0</v>
      </c>
      <c r="Z9" s="4" t="n">
        <v>0</v>
      </c>
      <c r="AA9" s="4" t="n">
        <v>0</v>
      </c>
      <c r="AB9" s="4" t="n">
        <v>1</v>
      </c>
      <c r="AC9" s="4" t="n">
        <v>0</v>
      </c>
      <c r="AD9" s="4" t="n">
        <v>0</v>
      </c>
      <c r="AE9" s="4" t="n">
        <v>1</v>
      </c>
      <c r="AF9" s="3" t="n">
        <v>0</v>
      </c>
      <c r="AG9" s="3" t="inlineStr"/>
    </row>
    <row r="10">
      <c r="A10" s="3" t="inlineStr">
        <is>
          <t>A009</t>
        </is>
      </c>
      <c r="B10" s="3" t="inlineStr">
        <is>
          <t>Analytics</t>
        </is>
      </c>
      <c r="C10" s="3" t="inlineStr">
        <is>
          <t>Theme 4</t>
        </is>
      </c>
      <c r="D10" s="3" t="inlineStr">
        <is>
          <t>Bahrami, Shokouhyar &amp; Seifian, 2022</t>
        </is>
      </c>
      <c r="E10" s="3" t="inlineStr">
        <is>
          <t>Information technology</t>
        </is>
      </c>
      <c r="F10" s="3" t="inlineStr">
        <is>
          <t>Not stated</t>
        </is>
      </c>
      <c r="G10" s="3" t="inlineStr">
        <is>
          <t>Resilience</t>
        </is>
      </c>
      <c r="H10" s="3" t="inlineStr">
        <is>
          <t>Cross-sectional single-source survey</t>
        </is>
      </c>
      <c r="I10" s="3" t="n">
        <v>187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3">
        <f>IF(COUNT(J10:N10)=0,"",SUM(J10:N10))</f>
        <v/>
      </c>
      <c r="P10" s="3">
        <f>IF(O10="","Not appraised",IF(O10&gt;=Summary!$C$4,"High",IF(O10&gt;=Summary!$C$5,"Moderate","Low")))</f>
        <v/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1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3" t="n">
        <v>0</v>
      </c>
      <c r="AG10" s="3" t="inlineStr"/>
    </row>
    <row r="11">
      <c r="A11" s="3" t="inlineStr">
        <is>
          <t>A010</t>
        </is>
      </c>
      <c r="B11" s="3" t="inlineStr">
        <is>
          <t>Analytics</t>
        </is>
      </c>
      <c r="C11" s="3" t="inlineStr">
        <is>
          <t>Theme 2</t>
        </is>
      </c>
      <c r="D11" s="3" t="inlineStr">
        <is>
          <t>Lee et al., 2024</t>
        </is>
      </c>
      <c r="E11" s="3" t="inlineStr">
        <is>
          <t>Manufacturing firms</t>
        </is>
      </c>
      <c r="F11" s="3" t="inlineStr">
        <is>
          <t>Dynamic capability view; complementary assets perspective</t>
        </is>
      </c>
      <c r="G11" s="3" t="inlineStr">
        <is>
          <t>Flexibility</t>
        </is>
      </c>
      <c r="H11" s="3" t="inlineStr">
        <is>
          <t>Cross-sectional single-source survey</t>
        </is>
      </c>
      <c r="I11" s="3" t="n">
        <v>308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3">
        <f>IF(COUNT(J11:N11)=0,"",SUM(J11:N11))</f>
        <v/>
      </c>
      <c r="P11" s="3">
        <f>IF(O11="","Not appraised",IF(O11&gt;=Summary!$C$4,"High",IF(O11&gt;=Summary!$C$5,"Moderate","Low")))</f>
        <v/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1</v>
      </c>
      <c r="Y11" s="4" t="n">
        <v>0</v>
      </c>
      <c r="Z11" s="4" t="n">
        <v>0</v>
      </c>
      <c r="AA11" s="4" t="n">
        <v>0</v>
      </c>
      <c r="AB11" s="4" t="n">
        <v>1</v>
      </c>
      <c r="AC11" s="4" t="n">
        <v>0</v>
      </c>
      <c r="AD11" s="4" t="n">
        <v>0</v>
      </c>
      <c r="AE11" s="4" t="n">
        <v>0</v>
      </c>
      <c r="AF11" s="3" t="n">
        <v>1</v>
      </c>
      <c r="AG11" s="3" t="inlineStr"/>
    </row>
    <row r="12">
      <c r="A12" s="3" t="inlineStr">
        <is>
          <t>A011</t>
        </is>
      </c>
      <c r="B12" s="3" t="inlineStr">
        <is>
          <t>Analytics</t>
        </is>
      </c>
      <c r="C12" s="3" t="inlineStr">
        <is>
          <t>Theme 4</t>
        </is>
      </c>
      <c r="D12" s="3" t="inlineStr">
        <is>
          <t>Liu et al., 2023</t>
        </is>
      </c>
      <c r="E12" s="3" t="inlineStr">
        <is>
          <t>Supply chain companies</t>
        </is>
      </c>
      <c r="F12" s="3" t="inlineStr">
        <is>
          <t>Technology adoption / TOE-style (tech–org–environment) perspective</t>
        </is>
      </c>
      <c r="G12" s="3" t="inlineStr">
        <is>
          <t>Resilience</t>
        </is>
      </c>
      <c r="H12" s="3" t="inlineStr">
        <is>
          <t>Cross-sectional single-source survey</t>
        </is>
      </c>
      <c r="I12" s="3" t="n">
        <v>400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3">
        <f>IF(COUNT(J12:N12)=0,"",SUM(J12:N12))</f>
        <v/>
      </c>
      <c r="P12" s="3">
        <f>IF(O12="","Not appraised",IF(O12&gt;=Summary!$C$4,"High",IF(O12&gt;=Summary!$C$5,"Moderate","Low")))</f>
        <v/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1</v>
      </c>
      <c r="Y12" s="4" t="n">
        <v>0</v>
      </c>
      <c r="Z12" s="4" t="n">
        <v>1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3" t="n">
        <v>1</v>
      </c>
      <c r="AG12" s="3" t="inlineStr"/>
    </row>
    <row r="13">
      <c r="A13" s="3" t="inlineStr">
        <is>
          <t>A012</t>
        </is>
      </c>
      <c r="B13" s="3" t="inlineStr">
        <is>
          <t>Analytics</t>
        </is>
      </c>
      <c r="C13" s="3" t="inlineStr">
        <is>
          <t>Theme 4</t>
        </is>
      </c>
      <c r="D13" s="3" t="inlineStr">
        <is>
          <t>Zhang et al., 2025</t>
        </is>
      </c>
      <c r="E13" s="3" t="inlineStr">
        <is>
          <t xml:space="preserve">Multi-industry </t>
        </is>
      </c>
      <c r="F13" s="3" t="inlineStr">
        <is>
          <t>Not stated</t>
        </is>
      </c>
      <c r="G13" s="3" t="inlineStr">
        <is>
          <t>Recovery</t>
        </is>
      </c>
      <c r="H13" s="3" t="inlineStr">
        <is>
          <t>Quasi-experimental / archival / panel</t>
        </is>
      </c>
      <c r="I13" s="3" t="n">
        <v>3499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3">
        <f>IF(COUNT(J13:N13)=0,"",SUM(J13:N13))</f>
        <v/>
      </c>
      <c r="P13" s="3">
        <f>IF(O13="","Not appraised",IF(O13&gt;=Summary!$C$4,"High",IF(O13&gt;=Summary!$C$5,"Moderate","Low")))</f>
        <v/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1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1</v>
      </c>
      <c r="AD13" s="4" t="n">
        <v>0</v>
      </c>
      <c r="AE13" s="4" t="n">
        <v>0</v>
      </c>
      <c r="AF13" s="3" t="n">
        <v>0</v>
      </c>
      <c r="AG13" s="3" t="inlineStr"/>
    </row>
    <row r="14">
      <c r="A14" s="3" t="inlineStr">
        <is>
          <t>A013</t>
        </is>
      </c>
      <c r="B14" s="3" t="inlineStr">
        <is>
          <t>Analytics</t>
        </is>
      </c>
      <c r="C14" s="3" t="inlineStr">
        <is>
          <t>Theme 2</t>
        </is>
      </c>
      <c r="D14" s="3" t="inlineStr">
        <is>
          <t>Manikas et al., 2022</t>
        </is>
      </c>
      <c r="E14" s="3" t="inlineStr">
        <is>
          <t xml:space="preserve">Multi-industry </t>
        </is>
      </c>
      <c r="F14" s="3" t="inlineStr">
        <is>
          <t xml:space="preserve">Resource-based capability perspective </t>
        </is>
      </c>
      <c r="G14" s="3" t="inlineStr">
        <is>
          <t>Agility</t>
        </is>
      </c>
      <c r="H14" s="3" t="inlineStr">
        <is>
          <t>Cross-sectional single-source survey</t>
        </is>
      </c>
      <c r="I14" s="3" t="n">
        <v>128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3">
        <f>IF(COUNT(J14:N14)=0,"",SUM(J14:N14))</f>
        <v/>
      </c>
      <c r="P14" s="3">
        <f>IF(O14="","Not appraised",IF(O14&gt;=Summary!$C$4,"High",IF(O14&gt;=Summary!$C$5,"Moderate","Low")))</f>
        <v/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1</v>
      </c>
      <c r="Y14" s="4" t="n">
        <v>0</v>
      </c>
      <c r="Z14" s="4" t="n">
        <v>0</v>
      </c>
      <c r="AA14" s="4" t="n">
        <v>0</v>
      </c>
      <c r="AB14" s="4" t="n">
        <v>1</v>
      </c>
      <c r="AC14" s="4" t="n">
        <v>0</v>
      </c>
      <c r="AD14" s="4" t="n">
        <v>1</v>
      </c>
      <c r="AE14" s="4" t="n">
        <v>0</v>
      </c>
      <c r="AF14" s="3" t="n">
        <v>0</v>
      </c>
      <c r="AG14" s="3" t="inlineStr"/>
    </row>
    <row r="15">
      <c r="A15" s="3" t="inlineStr">
        <is>
          <t>A014</t>
        </is>
      </c>
      <c r="B15" s="3" t="inlineStr">
        <is>
          <t>Analytics</t>
        </is>
      </c>
      <c r="C15" s="3" t="inlineStr">
        <is>
          <t>Theme 4</t>
        </is>
      </c>
      <c r="D15" s="3" t="inlineStr">
        <is>
          <t>Singh &amp; Singh, 2019</t>
        </is>
      </c>
      <c r="E15" s="3" t="inlineStr">
        <is>
          <t xml:space="preserve">Multi-industry </t>
        </is>
      </c>
      <c r="F15" s="3" t="inlineStr">
        <is>
          <t xml:space="preserve">Institutional theory; information-processing </t>
        </is>
      </c>
      <c r="G15" s="3" t="inlineStr">
        <is>
          <t>Risk management</t>
        </is>
      </c>
      <c r="H15" s="3" t="inlineStr">
        <is>
          <t>Cross-sectional single-source survey</t>
        </is>
      </c>
      <c r="I15" s="3" t="n">
        <v>225</v>
      </c>
      <c r="J15" s="4" t="n">
        <v>0</v>
      </c>
      <c r="K15" s="4" t="n">
        <v>1</v>
      </c>
      <c r="L15" s="4" t="n">
        <v>0</v>
      </c>
      <c r="M15" s="4" t="n">
        <v>0</v>
      </c>
      <c r="N15" s="4" t="n">
        <v>0</v>
      </c>
      <c r="O15" s="3">
        <f>IF(COUNT(J15:N15)=0,"",SUM(J15:N15))</f>
        <v/>
      </c>
      <c r="P15" s="3">
        <f>IF(O15="","Not appraised",IF(O15&gt;=Summary!$C$4,"High",IF(O15&gt;=Summary!$C$5,"Moderate","Low")))</f>
        <v/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1</v>
      </c>
      <c r="Y15" s="4" t="n">
        <v>0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0</v>
      </c>
      <c r="AF15" s="3" t="n">
        <v>0</v>
      </c>
      <c r="AG15" s="3" t="inlineStr"/>
    </row>
    <row r="16">
      <c r="A16" s="3" t="inlineStr">
        <is>
          <t>A015</t>
        </is>
      </c>
      <c r="B16" s="3" t="inlineStr">
        <is>
          <t>Analytics</t>
        </is>
      </c>
      <c r="C16" s="3" t="inlineStr">
        <is>
          <t>Theme 4</t>
        </is>
      </c>
      <c r="D16" s="3" t="inlineStr">
        <is>
          <t>Maria Vincenza Ciasullo, 2022</t>
        </is>
      </c>
      <c r="E16" s="3" t="inlineStr">
        <is>
          <t>SMEs</t>
        </is>
      </c>
      <c r="F16" s="3" t="inlineStr">
        <is>
          <t>Not stated</t>
        </is>
      </c>
      <c r="G16" s="3" t="inlineStr">
        <is>
          <t>Innovation</t>
        </is>
      </c>
      <c r="H16" s="3" t="inlineStr">
        <is>
          <t>Cross-sectional single-source survey</t>
        </is>
      </c>
      <c r="I16" s="3" t="n">
        <v>192</v>
      </c>
      <c r="J16" s="4" t="n">
        <v>0</v>
      </c>
      <c r="K16" s="4" t="n">
        <v>1</v>
      </c>
      <c r="L16" s="4" t="n">
        <v>0</v>
      </c>
      <c r="M16" s="4" t="n">
        <v>0</v>
      </c>
      <c r="N16" s="4" t="n">
        <v>1</v>
      </c>
      <c r="O16" s="3">
        <f>IF(COUNT(J16:N16)=0,"",SUM(J16:N16))</f>
        <v/>
      </c>
      <c r="P16" s="3">
        <f>IF(O16="","Not appraised",IF(O16&gt;=Summary!$C$4,"High",IF(O16&gt;=Summary!$C$5,"Moderate","Low")))</f>
        <v/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1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3" t="n">
        <v>0</v>
      </c>
      <c r="AG16" s="3" t="inlineStr"/>
    </row>
    <row r="17">
      <c r="A17" s="3" t="inlineStr">
        <is>
          <t>A016</t>
        </is>
      </c>
      <c r="B17" s="3" t="inlineStr">
        <is>
          <t>Analytics</t>
        </is>
      </c>
      <c r="C17" s="3" t="inlineStr">
        <is>
          <t>Theme 2</t>
        </is>
      </c>
      <c r="D17" s="3" t="inlineStr">
        <is>
          <t>Barhmi &amp; Laghzaoui, 2025</t>
        </is>
      </c>
      <c r="E17" s="3" t="inlineStr">
        <is>
          <t xml:space="preserve">Multi-industry </t>
        </is>
      </c>
      <c r="F17" s="3" t="inlineStr">
        <is>
          <t>Dynamic capability; information-processing perspective</t>
        </is>
      </c>
      <c r="G17" s="3" t="inlineStr">
        <is>
          <t>Robustness</t>
        </is>
      </c>
      <c r="H17" s="3" t="inlineStr">
        <is>
          <t>Cross-sectional single-source survey</t>
        </is>
      </c>
      <c r="I17" s="3" t="n">
        <v>203</v>
      </c>
      <c r="J17" s="4" t="n">
        <v>0</v>
      </c>
      <c r="K17" s="4" t="n">
        <v>1</v>
      </c>
      <c r="L17" s="4" t="n">
        <v>0</v>
      </c>
      <c r="M17" s="4" t="n">
        <v>0</v>
      </c>
      <c r="N17" s="4" t="n">
        <v>0</v>
      </c>
      <c r="O17" s="3">
        <f>IF(COUNT(J17:N17)=0,"",SUM(J17:N17))</f>
        <v/>
      </c>
      <c r="P17" s="3">
        <f>IF(O17="","Not appraised",IF(O17&gt;=Summary!$C$4,"High",IF(O17&gt;=Summary!$C$5,"Moderate","Low")))</f>
        <v/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1</v>
      </c>
      <c r="Y17" s="4" t="n">
        <v>0</v>
      </c>
      <c r="Z17" s="4" t="n">
        <v>0</v>
      </c>
      <c r="AA17" s="4" t="n">
        <v>0</v>
      </c>
      <c r="AB17" s="4" t="n">
        <v>1</v>
      </c>
      <c r="AC17" s="4" t="n">
        <v>0</v>
      </c>
      <c r="AD17" s="4" t="n">
        <v>0</v>
      </c>
      <c r="AE17" s="4" t="n">
        <v>0</v>
      </c>
      <c r="AF17" s="3" t="n">
        <v>0</v>
      </c>
      <c r="AG17" s="3" t="inlineStr"/>
    </row>
    <row r="18">
      <c r="A18" s="3" t="inlineStr">
        <is>
          <t>A017</t>
        </is>
      </c>
      <c r="B18" s="3" t="inlineStr">
        <is>
          <t>Analytics</t>
        </is>
      </c>
      <c r="C18" s="3" t="inlineStr">
        <is>
          <t>Theme 2</t>
        </is>
      </c>
      <c r="D18" s="3" t="inlineStr">
        <is>
          <t>Rengarajan et al., 2022</t>
        </is>
      </c>
      <c r="E18" s="3" t="inlineStr">
        <is>
          <t>Agri-food global value chains</t>
        </is>
      </c>
      <c r="F18" s="3" t="inlineStr">
        <is>
          <t xml:space="preserve">Information-processing; decision-making perspective </t>
        </is>
      </c>
      <c r="G18" s="3" t="inlineStr">
        <is>
          <t>Agility</t>
        </is>
      </c>
      <c r="H18" s="3" t="inlineStr">
        <is>
          <t>Qualitative / case study</t>
        </is>
      </c>
      <c r="I18" s="3" t="n"/>
      <c r="J18" s="4" t="n">
        <v>1</v>
      </c>
      <c r="K18" s="4" t="n">
        <v>0</v>
      </c>
      <c r="L18" s="4" t="n">
        <v>0</v>
      </c>
      <c r="M18" s="4" t="n">
        <v>0</v>
      </c>
      <c r="N18" s="4" t="n">
        <v>1</v>
      </c>
      <c r="O18" s="3">
        <f>IF(COUNT(J18:N18)=0,"",SUM(J18:N18))</f>
        <v/>
      </c>
      <c r="P18" s="3">
        <f>IF(O18="","Not appraised",IF(O18&gt;=Summary!$C$4,"High",IF(O18&gt;=Summary!$C$5,"Moderate","Low")))</f>
        <v/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1</v>
      </c>
      <c r="Y18" s="4" t="n">
        <v>0</v>
      </c>
      <c r="Z18" s="4" t="n">
        <v>1</v>
      </c>
      <c r="AA18" s="4" t="n">
        <v>0</v>
      </c>
      <c r="AB18" s="4" t="n">
        <v>1</v>
      </c>
      <c r="AC18" s="4" t="n">
        <v>0</v>
      </c>
      <c r="AD18" s="4" t="n">
        <v>0</v>
      </c>
      <c r="AE18" s="4" t="n">
        <v>0</v>
      </c>
      <c r="AF18" s="3" t="n">
        <v>0</v>
      </c>
      <c r="AG18" s="3" t="inlineStr"/>
    </row>
    <row r="19">
      <c r="A19" s="3" t="inlineStr">
        <is>
          <t>A018</t>
        </is>
      </c>
      <c r="B19" s="3" t="inlineStr">
        <is>
          <t>Analytics</t>
        </is>
      </c>
      <c r="C19" s="3" t="inlineStr">
        <is>
          <t>Theme 1</t>
        </is>
      </c>
      <c r="D19" s="3" t="inlineStr">
        <is>
          <t>Kokkinou &amp; Mandemakers, 2023</t>
        </is>
      </c>
      <c r="E19" s="3" t="inlineStr">
        <is>
          <t xml:space="preserve"> Logistics &amp; supply chain sector </t>
        </is>
      </c>
      <c r="F19" s="3" t="inlineStr">
        <is>
          <t>Contingent Resource-based view; Organizational Information Processing Theory</t>
        </is>
      </c>
      <c r="G19" s="3" t="inlineStr">
        <is>
          <t>Robustness</t>
        </is>
      </c>
      <c r="H19" s="3" t="inlineStr">
        <is>
          <t>Mixed / multi-source</t>
        </is>
      </c>
      <c r="I19" s="3" t="n">
        <v>197</v>
      </c>
      <c r="J19" s="4" t="n">
        <v>1</v>
      </c>
      <c r="K19" s="4" t="n">
        <v>1</v>
      </c>
      <c r="L19" s="4" t="n">
        <v>1</v>
      </c>
      <c r="M19" s="4" t="n">
        <v>1</v>
      </c>
      <c r="N19" s="4" t="n">
        <v>0</v>
      </c>
      <c r="O19" s="3">
        <f>IF(COUNT(J19:N19)=0,"",SUM(J19:N19))</f>
        <v/>
      </c>
      <c r="P19" s="3">
        <f>IF(O19="","Not appraised",IF(O19&gt;=Summary!$C$4,"High",IF(O19&gt;=Summary!$C$5,"Moderate","Low")))</f>
        <v/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1</v>
      </c>
      <c r="Y19" s="4" t="n">
        <v>1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3" t="n">
        <v>0</v>
      </c>
      <c r="AG19" s="3" t="inlineStr"/>
    </row>
    <row r="20">
      <c r="A20" s="3" t="inlineStr">
        <is>
          <t>A019</t>
        </is>
      </c>
      <c r="B20" s="3" t="inlineStr">
        <is>
          <t>Analytics</t>
        </is>
      </c>
      <c r="C20" s="3" t="inlineStr">
        <is>
          <t>Theme 2</t>
        </is>
      </c>
      <c r="D20" s="3" t="inlineStr">
        <is>
          <t>Barhmi et al., 2024</t>
        </is>
      </c>
      <c r="E20" s="3" t="inlineStr">
        <is>
          <t xml:space="preserve"> Manufacturing </t>
        </is>
      </c>
      <c r="F20" s="3" t="inlineStr">
        <is>
          <t>Dynamic Capability View; Organizational Information Processing Theory</t>
        </is>
      </c>
      <c r="G20" s="3" t="inlineStr">
        <is>
          <t>Flexibility</t>
        </is>
      </c>
      <c r="H20" s="3" t="inlineStr">
        <is>
          <t>Cross-sectional single-source survey</t>
        </is>
      </c>
      <c r="I20" s="3" t="n">
        <v>200</v>
      </c>
      <c r="J20" s="4" t="n">
        <v>0</v>
      </c>
      <c r="K20" s="4" t="n">
        <v>1</v>
      </c>
      <c r="L20" s="4" t="n">
        <v>0</v>
      </c>
      <c r="M20" s="4" t="n">
        <v>0</v>
      </c>
      <c r="N20" s="4" t="n">
        <v>0</v>
      </c>
      <c r="O20" s="3">
        <f>IF(COUNT(J20:N20)=0,"",SUM(J20:N20))</f>
        <v/>
      </c>
      <c r="P20" s="3">
        <f>IF(O20="","Not appraised",IF(O20&gt;=Summary!$C$4,"High",IF(O20&gt;=Summary!$C$5,"Moderate","Low")))</f>
        <v/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1</v>
      </c>
      <c r="Y20" s="4" t="n">
        <v>0</v>
      </c>
      <c r="Z20" s="4" t="n">
        <v>0</v>
      </c>
      <c r="AA20" s="4" t="n">
        <v>0</v>
      </c>
      <c r="AB20" s="4" t="n">
        <v>1</v>
      </c>
      <c r="AC20" s="4" t="n">
        <v>0</v>
      </c>
      <c r="AD20" s="4" t="n">
        <v>0</v>
      </c>
      <c r="AE20" s="4" t="n">
        <v>1</v>
      </c>
      <c r="AF20" s="3" t="n">
        <v>1</v>
      </c>
      <c r="AG20" s="3" t="inlineStr"/>
    </row>
    <row r="21">
      <c r="A21" s="3" t="inlineStr">
        <is>
          <t>A020</t>
        </is>
      </c>
      <c r="B21" s="3" t="inlineStr">
        <is>
          <t>Analytics</t>
        </is>
      </c>
      <c r="C21" s="3" t="inlineStr">
        <is>
          <t>Theme 2</t>
        </is>
      </c>
      <c r="D21" s="3" t="inlineStr">
        <is>
          <t>Dubey et al., 2021</t>
        </is>
      </c>
      <c r="E21" s="3" t="inlineStr">
        <is>
          <t xml:space="preserve">Manufacturing </t>
        </is>
      </c>
      <c r="F21" s="3" t="inlineStr">
        <is>
          <t xml:space="preserve">Organisational Information Processing Theory </t>
        </is>
      </c>
      <c r="G21" s="3" t="inlineStr">
        <is>
          <t>Recovery</t>
        </is>
      </c>
      <c r="H21" s="3" t="inlineStr">
        <is>
          <t>Cross-sectional single-source survey</t>
        </is>
      </c>
      <c r="I21" s="3" t="n">
        <v>213</v>
      </c>
      <c r="J21" s="4" t="n">
        <v>0</v>
      </c>
      <c r="K21" s="4" t="n">
        <v>1</v>
      </c>
      <c r="L21" s="4" t="n">
        <v>0</v>
      </c>
      <c r="M21" s="4" t="n">
        <v>0</v>
      </c>
      <c r="N21" s="4" t="n">
        <v>0</v>
      </c>
      <c r="O21" s="3">
        <f>IF(COUNT(J21:N21)=0,"",SUM(J21:N21))</f>
        <v/>
      </c>
      <c r="P21" s="3">
        <f>IF(O21="","Not appraised",IF(O21&gt;=Summary!$C$4,"High",IF(O21&gt;=Summary!$C$5,"Moderate","Low")))</f>
        <v/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1</v>
      </c>
      <c r="Y21" s="4" t="n">
        <v>0</v>
      </c>
      <c r="Z21" s="4" t="n">
        <v>0</v>
      </c>
      <c r="AA21" s="4" t="n">
        <v>0</v>
      </c>
      <c r="AB21" s="4" t="n">
        <v>1</v>
      </c>
      <c r="AC21" s="4" t="n">
        <v>1</v>
      </c>
      <c r="AD21" s="4" t="n">
        <v>0</v>
      </c>
      <c r="AE21" s="4" t="n">
        <v>0</v>
      </c>
      <c r="AF21" s="3" t="n">
        <v>0</v>
      </c>
      <c r="AG21" s="3" t="inlineStr"/>
    </row>
    <row r="22">
      <c r="A22" s="3" t="inlineStr">
        <is>
          <t>A021</t>
        </is>
      </c>
      <c r="B22" s="3" t="inlineStr">
        <is>
          <t>Analytics</t>
        </is>
      </c>
      <c r="C22" s="3" t="inlineStr">
        <is>
          <t>Theme 2</t>
        </is>
      </c>
      <c r="D22" s="3" t="inlineStr">
        <is>
          <t>Ahatsi &amp; Olanrewaju, 2025</t>
        </is>
      </c>
      <c r="E22" s="3" t="inlineStr">
        <is>
          <t>Humanitarian supply chains</t>
        </is>
      </c>
      <c r="F22" s="3" t="inlineStr">
        <is>
          <t>Not explicitly stated (technology–resilience framing)</t>
        </is>
      </c>
      <c r="G22" s="3" t="inlineStr">
        <is>
          <t>Readiness</t>
        </is>
      </c>
      <c r="H22" s="3" t="inlineStr">
        <is>
          <t>Cross-sectional single-source survey</t>
        </is>
      </c>
      <c r="I22" s="3" t="n">
        <v>200</v>
      </c>
      <c r="J22" s="4" t="n">
        <v>0</v>
      </c>
      <c r="K22" s="4" t="n">
        <v>1</v>
      </c>
      <c r="L22" s="4" t="n">
        <v>0</v>
      </c>
      <c r="M22" s="4" t="n">
        <v>0</v>
      </c>
      <c r="N22" s="4" t="n">
        <v>0</v>
      </c>
      <c r="O22" s="3">
        <f>IF(COUNT(J22:N22)=0,"",SUM(J22:N22))</f>
        <v/>
      </c>
      <c r="P22" s="3">
        <f>IF(O22="","Not appraised",IF(O22&gt;=Summary!$C$4,"High",IF(O22&gt;=Summary!$C$5,"Moderate","Low")))</f>
        <v/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1</v>
      </c>
      <c r="W22" s="4" t="n">
        <v>1</v>
      </c>
      <c r="X22" s="4" t="n">
        <v>1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0</v>
      </c>
      <c r="AD22" s="4" t="n">
        <v>1</v>
      </c>
      <c r="AE22" s="4" t="n">
        <v>0</v>
      </c>
      <c r="AF22" s="3" t="n">
        <v>0</v>
      </c>
      <c r="AG22" s="3" t="inlineStr"/>
    </row>
    <row r="23">
      <c r="A23" s="3" t="inlineStr">
        <is>
          <t>A022</t>
        </is>
      </c>
      <c r="B23" s="3" t="inlineStr">
        <is>
          <t>Analytics</t>
        </is>
      </c>
      <c r="C23" s="3" t="inlineStr">
        <is>
          <t>Theme 4</t>
        </is>
      </c>
      <c r="D23" s="3" t="inlineStr">
        <is>
          <t>Zhang, 2025</t>
        </is>
      </c>
      <c r="E23" s="3" t="inlineStr">
        <is>
          <t>Humanitarian NGOs</t>
        </is>
      </c>
      <c r="F23" s="3" t="inlineStr">
        <is>
          <t xml:space="preserve">Dynamic capability theory </t>
        </is>
      </c>
      <c r="G23" s="3" t="inlineStr">
        <is>
          <t>Resilience</t>
        </is>
      </c>
      <c r="H23" s="3" t="inlineStr">
        <is>
          <t>Cross-sectional single-source survey</t>
        </is>
      </c>
      <c r="I23" s="3" t="n">
        <v>411</v>
      </c>
      <c r="J23" s="4" t="n">
        <v>0</v>
      </c>
      <c r="K23" s="4" t="n">
        <v>1</v>
      </c>
      <c r="L23" s="4" t="n">
        <v>0</v>
      </c>
      <c r="M23" s="4" t="n">
        <v>0</v>
      </c>
      <c r="N23" s="4" t="n">
        <v>0</v>
      </c>
      <c r="O23" s="3">
        <f>IF(COUNT(J23:N23)=0,"",SUM(J23:N23))</f>
        <v/>
      </c>
      <c r="P23" s="3">
        <f>IF(O23="","Not appraised",IF(O23&gt;=Summary!$C$4,"High",IF(O23&gt;=Summary!$C$5,"Moderate","Low")))</f>
        <v/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1</v>
      </c>
      <c r="X23" s="4" t="n">
        <v>1</v>
      </c>
      <c r="Y23" s="4" t="n">
        <v>0</v>
      </c>
      <c r="Z23" s="4" t="n">
        <v>0</v>
      </c>
      <c r="AA23" s="4" t="n">
        <v>0</v>
      </c>
      <c r="AB23" s="4" t="n">
        <v>0</v>
      </c>
      <c r="AC23" s="4" t="n">
        <v>0</v>
      </c>
      <c r="AD23" s="4" t="n">
        <v>0</v>
      </c>
      <c r="AE23" s="4" t="n">
        <v>0</v>
      </c>
      <c r="AF23" s="3" t="n">
        <v>1</v>
      </c>
      <c r="AG23" s="3" t="inlineStr"/>
    </row>
    <row r="24">
      <c r="A24" s="3" t="inlineStr">
        <is>
          <t>A023</t>
        </is>
      </c>
      <c r="B24" s="3" t="inlineStr">
        <is>
          <t>Analytics</t>
        </is>
      </c>
      <c r="C24" s="3" t="inlineStr">
        <is>
          <t>Theme 4</t>
        </is>
      </c>
      <c r="D24" s="3" t="inlineStr">
        <is>
          <t>Kong &amp; Feng, 2025</t>
        </is>
      </c>
      <c r="E24" s="3" t="inlineStr">
        <is>
          <t xml:space="preserve">Manufacturing </t>
        </is>
      </c>
      <c r="F24" s="3" t="inlineStr">
        <is>
          <t>Dynamic capability theory; organizational information processing theory</t>
        </is>
      </c>
      <c r="G24" s="3" t="inlineStr">
        <is>
          <t>Resilience</t>
        </is>
      </c>
      <c r="H24" s="3" t="inlineStr">
        <is>
          <t>Cross-sectional single-source survey</t>
        </is>
      </c>
      <c r="I24" s="3" t="n">
        <v>277</v>
      </c>
      <c r="J24" s="4" t="n">
        <v>0</v>
      </c>
      <c r="K24" s="4" t="n">
        <v>1</v>
      </c>
      <c r="L24" s="4" t="n">
        <v>0</v>
      </c>
      <c r="M24" s="4" t="n">
        <v>0</v>
      </c>
      <c r="N24" s="4" t="n">
        <v>0</v>
      </c>
      <c r="O24" s="3">
        <f>IF(COUNT(J24:N24)=0,"",SUM(J24:N24))</f>
        <v/>
      </c>
      <c r="P24" s="3">
        <f>IF(O24="","Not appraised",IF(O24&gt;=Summary!$C$4,"High",IF(O24&gt;=Summary!$C$5,"Moderate","Low")))</f>
        <v/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1</v>
      </c>
      <c r="Y24" s="4" t="n">
        <v>0</v>
      </c>
      <c r="Z24" s="4" t="n">
        <v>1</v>
      </c>
      <c r="AA24" s="4" t="n">
        <v>0</v>
      </c>
      <c r="AB24" s="4" t="n">
        <v>1</v>
      </c>
      <c r="AC24" s="4" t="n">
        <v>0</v>
      </c>
      <c r="AD24" s="4" t="n">
        <v>0</v>
      </c>
      <c r="AE24" s="4" t="n">
        <v>1</v>
      </c>
      <c r="AF24" s="3" t="n">
        <v>1</v>
      </c>
      <c r="AG24" s="3" t="inlineStr"/>
    </row>
    <row r="25">
      <c r="A25" s="3" t="inlineStr">
        <is>
          <t>A024</t>
        </is>
      </c>
      <c r="B25" s="3" t="inlineStr">
        <is>
          <t>Analytics</t>
        </is>
      </c>
      <c r="C25" s="3" t="inlineStr">
        <is>
          <t>Theme 4</t>
        </is>
      </c>
      <c r="D25" s="3" t="inlineStr">
        <is>
          <t>Jajja et al., 2025</t>
        </is>
      </c>
      <c r="E25" s="3" t="inlineStr">
        <is>
          <t xml:space="preserve">Manufacturing </t>
        </is>
      </c>
      <c r="F25" s="3" t="inlineStr">
        <is>
          <t>Dynamic capability view; organizational information processing</t>
        </is>
      </c>
      <c r="G25" s="3" t="inlineStr">
        <is>
          <t>Resilience</t>
        </is>
      </c>
      <c r="H25" s="3" t="inlineStr">
        <is>
          <t>Multi-wave / multi-respondent survey</t>
        </is>
      </c>
      <c r="I25" s="3" t="n">
        <v>243</v>
      </c>
      <c r="J25" s="4" t="n">
        <v>1</v>
      </c>
      <c r="K25" s="4" t="n">
        <v>1</v>
      </c>
      <c r="L25" s="4" t="n">
        <v>0</v>
      </c>
      <c r="M25" s="4" t="n">
        <v>1</v>
      </c>
      <c r="N25" s="4" t="n">
        <v>0</v>
      </c>
      <c r="O25" s="3">
        <f>IF(COUNT(J25:N25)=0,"",SUM(J25:N25))</f>
        <v/>
      </c>
      <c r="P25" s="3">
        <f>IF(O25="","Not appraised",IF(O25&gt;=Summary!$C$4,"High",IF(O25&gt;=Summary!$C$5,"Moderate","Low")))</f>
        <v/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1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n">
        <v>0</v>
      </c>
      <c r="AF25" s="3" t="n">
        <v>0</v>
      </c>
      <c r="AG25" s="3" t="inlineStr"/>
    </row>
    <row r="26">
      <c r="A26" s="3" t="inlineStr">
        <is>
          <t>A025</t>
        </is>
      </c>
      <c r="B26" s="3" t="inlineStr">
        <is>
          <t>Analytics</t>
        </is>
      </c>
      <c r="C26" s="3" t="inlineStr">
        <is>
          <t>Theme 4</t>
        </is>
      </c>
      <c r="D26" s="3" t="inlineStr">
        <is>
          <t>Gupta et al., 2022</t>
        </is>
      </c>
      <c r="E26" s="3" t="inlineStr">
        <is>
          <t xml:space="preserve">Manufacturing </t>
        </is>
      </c>
      <c r="F26" s="3" t="inlineStr">
        <is>
          <t>Contingent resource-based perspective</t>
        </is>
      </c>
      <c r="G26" s="3" t="inlineStr">
        <is>
          <t>Risk management</t>
        </is>
      </c>
      <c r="H26" s="3" t="inlineStr">
        <is>
          <t>Cross-sectional single-source survey</t>
        </is>
      </c>
      <c r="I26" s="3" t="n">
        <v>190</v>
      </c>
      <c r="J26" s="4" t="n">
        <v>0</v>
      </c>
      <c r="K26" s="4" t="n">
        <v>1</v>
      </c>
      <c r="L26" s="4" t="n">
        <v>0</v>
      </c>
      <c r="M26" s="4" t="n">
        <v>0</v>
      </c>
      <c r="N26" s="4" t="n">
        <v>0</v>
      </c>
      <c r="O26" s="3">
        <f>IF(COUNT(J26:N26)=0,"",SUM(J26:N26))</f>
        <v/>
      </c>
      <c r="P26" s="3">
        <f>IF(O26="","Not appraised",IF(O26&gt;=Summary!$C$4,"High",IF(O26&gt;=Summary!$C$5,"Moderate","Low")))</f>
        <v/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1</v>
      </c>
      <c r="Y26" s="4" t="n">
        <v>0</v>
      </c>
      <c r="Z26" s="4" t="n">
        <v>0</v>
      </c>
      <c r="AA26" s="4" t="n">
        <v>0</v>
      </c>
      <c r="AB26" s="4" t="n">
        <v>1</v>
      </c>
      <c r="AC26" s="4" t="n">
        <v>0</v>
      </c>
      <c r="AD26" s="4" t="n">
        <v>1</v>
      </c>
      <c r="AE26" s="4" t="n">
        <v>0</v>
      </c>
      <c r="AF26" s="3" t="n">
        <v>0</v>
      </c>
      <c r="AG26" s="3" t="inlineStr"/>
    </row>
    <row r="27">
      <c r="A27" s="3" t="inlineStr">
        <is>
          <t>A026</t>
        </is>
      </c>
      <c r="B27" s="3" t="inlineStr">
        <is>
          <t>Analytics</t>
        </is>
      </c>
      <c r="C27" s="3" t="inlineStr">
        <is>
          <t>Theme 2</t>
        </is>
      </c>
      <c r="D27" s="3" t="inlineStr">
        <is>
          <t>Bhatti et al., 2022</t>
        </is>
      </c>
      <c r="E27" s="3" t="inlineStr">
        <is>
          <t>Manufacturing firms</t>
        </is>
      </c>
      <c r="F27" s="3" t="inlineStr">
        <is>
          <t>Capabilities perspective (complementary resources)</t>
        </is>
      </c>
      <c r="G27" s="3" t="inlineStr">
        <is>
          <t>Agility</t>
        </is>
      </c>
      <c r="H27" s="3" t="inlineStr">
        <is>
          <t>Cross-sectional single-source survey</t>
        </is>
      </c>
      <c r="I27" s="3" t="n">
        <v>386</v>
      </c>
      <c r="J27" s="4" t="n">
        <v>0</v>
      </c>
      <c r="K27" s="4" t="n">
        <v>1</v>
      </c>
      <c r="L27" s="4" t="n">
        <v>0</v>
      </c>
      <c r="M27" s="4" t="n">
        <v>0</v>
      </c>
      <c r="N27" s="4" t="n">
        <v>0</v>
      </c>
      <c r="O27" s="3">
        <f>IF(COUNT(J27:N27)=0,"",SUM(J27:N27))</f>
        <v/>
      </c>
      <c r="P27" s="3">
        <f>IF(O27="","Not appraised",IF(O27&gt;=Summary!$C$4,"High",IF(O27&gt;=Summary!$C$5,"Moderate","Low")))</f>
        <v/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1</v>
      </c>
      <c r="Y27" s="4" t="n">
        <v>0</v>
      </c>
      <c r="Z27" s="4" t="n">
        <v>0</v>
      </c>
      <c r="AA27" s="4" t="n">
        <v>0</v>
      </c>
      <c r="AB27" s="4" t="n">
        <v>1</v>
      </c>
      <c r="AC27" s="4" t="n">
        <v>0</v>
      </c>
      <c r="AD27" s="4" t="n">
        <v>0</v>
      </c>
      <c r="AE27" s="4" t="n">
        <v>0</v>
      </c>
      <c r="AF27" s="3" t="n">
        <v>0</v>
      </c>
      <c r="AG27" s="3" t="inlineStr"/>
    </row>
    <row r="28">
      <c r="A28" s="3" t="inlineStr">
        <is>
          <t>A027</t>
        </is>
      </c>
      <c r="B28" s="3" t="inlineStr">
        <is>
          <t>Analytics</t>
        </is>
      </c>
      <c r="C28" s="3" t="inlineStr">
        <is>
          <t>Theme 4</t>
        </is>
      </c>
      <c r="D28" s="3" t="inlineStr">
        <is>
          <t>Islam et al., 2025</t>
        </is>
      </c>
      <c r="E28" s="3" t="inlineStr">
        <is>
          <t xml:space="preserve">Ready-made garments </t>
        </is>
      </c>
      <c r="F28" s="3" t="inlineStr">
        <is>
          <t>Socio-technical systems (STS) theory</t>
        </is>
      </c>
      <c r="G28" s="3" t="inlineStr">
        <is>
          <t>Resilience</t>
        </is>
      </c>
      <c r="H28" s="3" t="inlineStr">
        <is>
          <t>Cross-sectional single-source survey</t>
        </is>
      </c>
      <c r="I28" s="3" t="n">
        <v>129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3">
        <f>IF(COUNT(J28:N28)=0,"",SUM(J28:N28))</f>
        <v/>
      </c>
      <c r="P28" s="3">
        <f>IF(O28="","Not appraised",IF(O28&gt;=Summary!$C$4,"High",IF(O28&gt;=Summary!$C$5,"Moderate","Low")))</f>
        <v/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1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3" t="n">
        <v>0</v>
      </c>
      <c r="AG28" s="3" t="inlineStr"/>
    </row>
    <row r="29">
      <c r="A29" s="3" t="inlineStr">
        <is>
          <t>A028</t>
        </is>
      </c>
      <c r="B29" s="3" t="inlineStr">
        <is>
          <t>Analytics</t>
        </is>
      </c>
      <c r="C29" s="3" t="inlineStr">
        <is>
          <t>Theme 2</t>
        </is>
      </c>
      <c r="D29" s="3" t="inlineStr">
        <is>
          <t>Rezaei et al., 2022</t>
        </is>
      </c>
      <c r="E29" s="3" t="inlineStr">
        <is>
          <t>Textile</t>
        </is>
      </c>
      <c r="F29" s="3" t="inlineStr">
        <is>
          <t>Resource-based view; dynamic capability view</t>
        </is>
      </c>
      <c r="G29" s="3" t="inlineStr">
        <is>
          <t>Flexibility</t>
        </is>
      </c>
      <c r="H29" s="3" t="inlineStr">
        <is>
          <t>Cross-sectional single-source survey</t>
        </is>
      </c>
      <c r="I29" s="3" t="n">
        <v>207</v>
      </c>
      <c r="J29" s="4" t="n">
        <v>0</v>
      </c>
      <c r="K29" s="4" t="n">
        <v>1</v>
      </c>
      <c r="L29" s="4" t="n">
        <v>0</v>
      </c>
      <c r="M29" s="4" t="n">
        <v>0</v>
      </c>
      <c r="N29" s="4" t="n">
        <v>0</v>
      </c>
      <c r="O29" s="3">
        <f>IF(COUNT(J29:N29)=0,"",SUM(J29:N29))</f>
        <v/>
      </c>
      <c r="P29" s="3">
        <f>IF(O29="","Not appraised",IF(O29&gt;=Summary!$C$4,"High",IF(O29&gt;=Summary!$C$5,"Moderate","Low")))</f>
        <v/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1</v>
      </c>
      <c r="Y29" s="4" t="n">
        <v>0</v>
      </c>
      <c r="Z29" s="4" t="n">
        <v>0</v>
      </c>
      <c r="AA29" s="4" t="n">
        <v>0</v>
      </c>
      <c r="AB29" s="4" t="n">
        <v>1</v>
      </c>
      <c r="AC29" s="4" t="n">
        <v>0</v>
      </c>
      <c r="AD29" s="4" t="n">
        <v>0</v>
      </c>
      <c r="AE29" s="4" t="n">
        <v>0</v>
      </c>
      <c r="AF29" s="3" t="n">
        <v>0</v>
      </c>
      <c r="AG29" s="3" t="inlineStr"/>
    </row>
    <row r="30">
      <c r="A30" s="3" t="inlineStr">
        <is>
          <t>A029</t>
        </is>
      </c>
      <c r="B30" s="3" t="inlineStr">
        <is>
          <t>Analytics</t>
        </is>
      </c>
      <c r="C30" s="3" t="inlineStr">
        <is>
          <t>Theme 4</t>
        </is>
      </c>
      <c r="D30" s="3" t="inlineStr">
        <is>
          <t>Bag et al., 2021</t>
        </is>
      </c>
      <c r="E30" s="3" t="inlineStr">
        <is>
          <t xml:space="preserve">Automotive </t>
        </is>
      </c>
      <c r="F30" s="3" t="inlineStr">
        <is>
          <t>Resource based view</t>
        </is>
      </c>
      <c r="G30" s="3" t="inlineStr">
        <is>
          <t>Risk management</t>
        </is>
      </c>
      <c r="H30" s="3" t="inlineStr">
        <is>
          <t>Cross-sectional single-source survey</t>
        </is>
      </c>
      <c r="I30" s="3" t="n">
        <v>224</v>
      </c>
      <c r="J30" s="4" t="n">
        <v>0</v>
      </c>
      <c r="K30" s="4" t="n">
        <v>1</v>
      </c>
      <c r="L30" s="4" t="n">
        <v>0</v>
      </c>
      <c r="M30" s="4" t="n">
        <v>0</v>
      </c>
      <c r="N30" s="4" t="n">
        <v>0</v>
      </c>
      <c r="O30" s="3">
        <f>IF(COUNT(J30:N30)=0,"",SUM(J30:N30))</f>
        <v/>
      </c>
      <c r="P30" s="3">
        <f>IF(O30="","Not appraised",IF(O30&gt;=Summary!$C$4,"High",IF(O30&gt;=Summary!$C$5,"Moderate","Low")))</f>
        <v/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1</v>
      </c>
      <c r="Y30" s="4" t="n">
        <v>0</v>
      </c>
      <c r="Z30" s="4" t="n">
        <v>0</v>
      </c>
      <c r="AA30" s="4" t="n">
        <v>0</v>
      </c>
      <c r="AB30" s="4" t="n">
        <v>0</v>
      </c>
      <c r="AC30" s="4" t="n">
        <v>1</v>
      </c>
      <c r="AD30" s="4" t="n">
        <v>0</v>
      </c>
      <c r="AE30" s="4" t="n">
        <v>0</v>
      </c>
      <c r="AF30" s="3" t="n">
        <v>0</v>
      </c>
      <c r="AG30" s="3" t="inlineStr"/>
    </row>
    <row r="31">
      <c r="A31" s="3" t="inlineStr">
        <is>
          <t>A030</t>
        </is>
      </c>
      <c r="B31" s="3" t="inlineStr">
        <is>
          <t>Analytics</t>
        </is>
      </c>
      <c r="C31" s="3" t="inlineStr">
        <is>
          <t>Theme 1</t>
        </is>
      </c>
      <c r="D31" s="3" t="inlineStr">
        <is>
          <t>Jiang et al., 2025</t>
        </is>
      </c>
      <c r="E31" s="3" t="inlineStr">
        <is>
          <t xml:space="preserve">Manufacturing </t>
        </is>
      </c>
      <c r="F31" s="3" t="inlineStr">
        <is>
          <t>Dynamic capability theory; inertia theory</t>
        </is>
      </c>
      <c r="G31" s="3" t="inlineStr">
        <is>
          <t>Visibility</t>
        </is>
      </c>
      <c r="H31" s="3" t="inlineStr">
        <is>
          <t>Cross-sectional single-source survey</t>
        </is>
      </c>
      <c r="I31" s="3" t="n">
        <v>277</v>
      </c>
      <c r="J31" s="4" t="n">
        <v>0</v>
      </c>
      <c r="K31" s="4" t="n">
        <v>1</v>
      </c>
      <c r="L31" s="4" t="n">
        <v>0</v>
      </c>
      <c r="M31" s="4" t="n">
        <v>0</v>
      </c>
      <c r="N31" s="4" t="n">
        <v>0</v>
      </c>
      <c r="O31" s="3">
        <f>IF(COUNT(J31:N31)=0,"",SUM(J31:N31))</f>
        <v/>
      </c>
      <c r="P31" s="3">
        <f>IF(O31="","Not appraised",IF(O31&gt;=Summary!$C$4,"High",IF(O31&gt;=Summary!$C$5,"Moderate","Low")))</f>
        <v/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1</v>
      </c>
      <c r="Y31" s="4" t="n">
        <v>1</v>
      </c>
      <c r="Z31" s="4" t="n">
        <v>0</v>
      </c>
      <c r="AA31" s="4" t="n">
        <v>0</v>
      </c>
      <c r="AB31" s="4" t="n">
        <v>1</v>
      </c>
      <c r="AC31" s="4" t="n">
        <v>1</v>
      </c>
      <c r="AD31" s="4" t="n">
        <v>0</v>
      </c>
      <c r="AE31" s="4" t="n">
        <v>0</v>
      </c>
      <c r="AF31" s="3" t="n">
        <v>0</v>
      </c>
      <c r="AG31" s="3" t="inlineStr"/>
    </row>
    <row r="32">
      <c r="A32" s="3" t="inlineStr">
        <is>
          <t>A031</t>
        </is>
      </c>
      <c r="B32" s="3" t="inlineStr">
        <is>
          <t>Analytics</t>
        </is>
      </c>
      <c r="C32" s="3" t="inlineStr">
        <is>
          <t>Theme 4</t>
        </is>
      </c>
      <c r="D32" s="3" t="inlineStr">
        <is>
          <t>Bag, Rahman, Routray, Roubaud &amp; Mangla, 2025</t>
        </is>
      </c>
      <c r="E32" s="3" t="inlineStr">
        <is>
          <t xml:space="preserve">Renewable energy </t>
        </is>
      </c>
      <c r="F32" s="3" t="inlineStr">
        <is>
          <t>Dynamic capability view</t>
        </is>
      </c>
      <c r="G32" s="3" t="inlineStr">
        <is>
          <t>Resilience</t>
        </is>
      </c>
      <c r="H32" s="3" t="inlineStr">
        <is>
          <t>Cross-sectional single-source survey</t>
        </is>
      </c>
      <c r="I32" s="3" t="n">
        <v>367</v>
      </c>
      <c r="J32" s="4" t="n">
        <v>0</v>
      </c>
      <c r="K32" s="4" t="n">
        <v>1</v>
      </c>
      <c r="L32" s="4" t="n">
        <v>0</v>
      </c>
      <c r="M32" s="4" t="n">
        <v>0</v>
      </c>
      <c r="N32" s="4" t="n">
        <v>0</v>
      </c>
      <c r="O32" s="3">
        <f>IF(COUNT(J32:N32)=0,"",SUM(J32:N32))</f>
        <v/>
      </c>
      <c r="P32" s="3">
        <f>IF(O32="","Not appraised",IF(O32&gt;=Summary!$C$4,"High",IF(O32&gt;=Summary!$C$5,"Moderate","Low")))</f>
        <v/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1</v>
      </c>
      <c r="Y32" s="4" t="n">
        <v>0</v>
      </c>
      <c r="Z32" s="4" t="n">
        <v>0</v>
      </c>
      <c r="AA32" s="4" t="n">
        <v>0</v>
      </c>
      <c r="AB32" s="4" t="n">
        <v>0</v>
      </c>
      <c r="AC32" s="4" t="n">
        <v>0</v>
      </c>
      <c r="AD32" s="4" t="n">
        <v>0</v>
      </c>
      <c r="AE32" s="4" t="n">
        <v>0</v>
      </c>
      <c r="AF32" s="3" t="n">
        <v>0</v>
      </c>
      <c r="AG32" s="3" t="inlineStr"/>
    </row>
    <row r="33">
      <c r="A33" s="3" t="inlineStr">
        <is>
          <t>A032</t>
        </is>
      </c>
      <c r="B33" s="3" t="inlineStr">
        <is>
          <t>Analytics</t>
        </is>
      </c>
      <c r="C33" s="3" t="inlineStr">
        <is>
          <t>Theme 4</t>
        </is>
      </c>
      <c r="D33" s="3" t="inlineStr">
        <is>
          <t>Cao, Elking, Gu &amp; Hoffman, 2024</t>
        </is>
      </c>
      <c r="E33" s="3" t="inlineStr">
        <is>
          <t xml:space="preserve">Cross-industry </t>
        </is>
      </c>
      <c r="F33" s="3" t="inlineStr">
        <is>
          <t>Organizational information processing theory</t>
        </is>
      </c>
      <c r="G33" s="3" t="inlineStr">
        <is>
          <t>Resilience</t>
        </is>
      </c>
      <c r="H33" s="3" t="inlineStr">
        <is>
          <t>Cross-sectional single-source survey</t>
        </is>
      </c>
      <c r="I33" s="3" t="n">
        <v>247</v>
      </c>
      <c r="J33" s="4" t="n">
        <v>0</v>
      </c>
      <c r="K33" s="4" t="n">
        <v>1</v>
      </c>
      <c r="L33" s="4" t="n">
        <v>0</v>
      </c>
      <c r="M33" s="4" t="n">
        <v>0</v>
      </c>
      <c r="N33" s="4" t="n">
        <v>1</v>
      </c>
      <c r="O33" s="3">
        <f>IF(COUNT(J33:N33)=0,"",SUM(J33:N33))</f>
        <v/>
      </c>
      <c r="P33" s="3">
        <f>IF(O33="","Not appraised",IF(O33&gt;=Summary!$C$4,"High",IF(O33&gt;=Summary!$C$5,"Moderate","Low")))</f>
        <v/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1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3" t="n">
        <v>0</v>
      </c>
      <c r="AG33" s="3" t="inlineStr"/>
    </row>
    <row r="34">
      <c r="A34" s="3" t="inlineStr">
        <is>
          <t>A033</t>
        </is>
      </c>
      <c r="B34" s="3" t="inlineStr">
        <is>
          <t>Analytics</t>
        </is>
      </c>
      <c r="C34" s="3" t="inlineStr">
        <is>
          <t>Theme 1</t>
        </is>
      </c>
      <c r="D34" s="3" t="inlineStr">
        <is>
          <t>Kokkinou, Mitas &amp; Mandemakers, 2025</t>
        </is>
      </c>
      <c r="E34" s="3" t="inlineStr">
        <is>
          <t xml:space="preserve"> Multi-sector</t>
        </is>
      </c>
      <c r="F34" s="3" t="inlineStr">
        <is>
          <t>Dynamic capability theory; organizational information processing theory</t>
        </is>
      </c>
      <c r="G34" s="3" t="inlineStr">
        <is>
          <t>Robustness</t>
        </is>
      </c>
      <c r="H34" s="3" t="inlineStr">
        <is>
          <t>Cross-sectional single-source survey</t>
        </is>
      </c>
      <c r="I34" s="3" t="n">
        <v>58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3">
        <f>IF(COUNT(J34:N34)=0,"",SUM(J34:N34))</f>
        <v/>
      </c>
      <c r="P34" s="3">
        <f>IF(O34="","Not appraised",IF(O34&gt;=Summary!$C$4,"High",IF(O34&gt;=Summary!$C$5,"Moderate","Low")))</f>
        <v/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1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3" t="n">
        <v>0</v>
      </c>
      <c r="AG34" s="3" t="inlineStr"/>
    </row>
    <row r="35">
      <c r="A35" s="3" t="inlineStr">
        <is>
          <t>A034</t>
        </is>
      </c>
      <c r="B35" s="3" t="inlineStr">
        <is>
          <t>Analytics</t>
        </is>
      </c>
      <c r="C35" s="3" t="inlineStr">
        <is>
          <t>Theme 4</t>
        </is>
      </c>
      <c r="D35" s="3" t="inlineStr">
        <is>
          <t>Bronzo, Barbosa, Sousa, Torres Junior &amp; Oliveira, 2024</t>
        </is>
      </c>
      <c r="E35" s="3" t="inlineStr">
        <is>
          <t xml:space="preserve">Automotive </t>
        </is>
      </c>
      <c r="F35" s="3" t="inlineStr">
        <is>
          <t>Dynamic capabilities theory</t>
        </is>
      </c>
      <c r="G35" s="3" t="inlineStr">
        <is>
          <t>Responsiveness</t>
        </is>
      </c>
      <c r="H35" s="3" t="inlineStr">
        <is>
          <t>Cross-sectional single-source survey</t>
        </is>
      </c>
      <c r="I35" s="3" t="n">
        <v>263</v>
      </c>
      <c r="J35" s="4" t="n">
        <v>0</v>
      </c>
      <c r="K35" s="4" t="n">
        <v>1</v>
      </c>
      <c r="L35" s="4" t="n">
        <v>0</v>
      </c>
      <c r="M35" s="4" t="n">
        <v>0</v>
      </c>
      <c r="N35" s="4" t="n">
        <v>0</v>
      </c>
      <c r="O35" s="3">
        <f>IF(COUNT(J35:N35)=0,"",SUM(J35:N35))</f>
        <v/>
      </c>
      <c r="P35" s="3">
        <f>IF(O35="","Not appraised",IF(O35&gt;=Summary!$C$4,"High",IF(O35&gt;=Summary!$C$5,"Moderate","Low")))</f>
        <v/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1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3" t="n">
        <v>0</v>
      </c>
      <c r="AG35" s="3" t="inlineStr"/>
    </row>
    <row r="36">
      <c r="A36" s="3" t="inlineStr">
        <is>
          <t>A035</t>
        </is>
      </c>
      <c r="B36" s="3" t="inlineStr">
        <is>
          <t>Analytics</t>
        </is>
      </c>
      <c r="C36" s="3" t="inlineStr">
        <is>
          <t>Theme 1</t>
        </is>
      </c>
      <c r="D36" s="3" t="inlineStr">
        <is>
          <t>Zhang, Gao &amp; Luqman, 2022</t>
        </is>
      </c>
      <c r="E36" s="3" t="inlineStr">
        <is>
          <t>Not stated</t>
        </is>
      </c>
      <c r="F36" s="3" t="inlineStr">
        <is>
          <t xml:space="preserve">Stakeholder theory </t>
        </is>
      </c>
      <c r="G36" s="3" t="inlineStr">
        <is>
          <t xml:space="preserve"> Competitiveness</t>
        </is>
      </c>
      <c r="H36" s="3" t="inlineStr">
        <is>
          <t>Cross-sectional single-source survey</t>
        </is>
      </c>
      <c r="I36" s="3" t="n">
        <v>283</v>
      </c>
      <c r="J36" s="4" t="n">
        <v>0</v>
      </c>
      <c r="K36" s="4" t="n">
        <v>1</v>
      </c>
      <c r="L36" s="4" t="n">
        <v>0</v>
      </c>
      <c r="M36" s="4" t="n">
        <v>0</v>
      </c>
      <c r="N36" s="4" t="n">
        <v>0</v>
      </c>
      <c r="O36" s="3">
        <f>IF(COUNT(J36:N36)=0,"",SUM(J36:N36))</f>
        <v/>
      </c>
      <c r="P36" s="3">
        <f>IF(O36="","Not appraised",IF(O36&gt;=Summary!$C$4,"High",IF(O36&gt;=Summary!$C$5,"Moderate","Low")))</f>
        <v/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1</v>
      </c>
      <c r="Y36" s="4" t="n">
        <v>1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n">
        <v>0</v>
      </c>
      <c r="AF36" s="3" t="n">
        <v>0</v>
      </c>
      <c r="AG36" s="3" t="inlineStr"/>
    </row>
    <row r="37">
      <c r="A37" s="3" t="inlineStr">
        <is>
          <t>A036</t>
        </is>
      </c>
      <c r="B37" s="3" t="inlineStr">
        <is>
          <t>Analytics</t>
        </is>
      </c>
      <c r="C37" s="3" t="inlineStr">
        <is>
          <t>Theme 2</t>
        </is>
      </c>
      <c r="D37" s="3" t="inlineStr">
        <is>
          <t>Singh, 2025</t>
        </is>
      </c>
      <c r="E37" s="3" t="inlineStr">
        <is>
          <t xml:space="preserve">Supply chain professionals </t>
        </is>
      </c>
      <c r="F37" s="3" t="inlineStr">
        <is>
          <t>Dynamic capability view</t>
        </is>
      </c>
      <c r="G37" s="3" t="inlineStr">
        <is>
          <t>Flexibility</t>
        </is>
      </c>
      <c r="H37" s="3" t="inlineStr">
        <is>
          <t>Cross-sectional single-source survey</t>
        </is>
      </c>
      <c r="I37" s="3" t="n">
        <v>150</v>
      </c>
      <c r="J37" s="4" t="n">
        <v>0</v>
      </c>
      <c r="K37" s="4" t="n">
        <v>1</v>
      </c>
      <c r="L37" s="4" t="n">
        <v>0</v>
      </c>
      <c r="M37" s="4" t="n">
        <v>0</v>
      </c>
      <c r="N37" s="4" t="n">
        <v>0</v>
      </c>
      <c r="O37" s="3">
        <f>IF(COUNT(J37:N37)=0,"",SUM(J37:N37))</f>
        <v/>
      </c>
      <c r="P37" s="3">
        <f>IF(O37="","Not appraised",IF(O37&gt;=Summary!$C$4,"High",IF(O37&gt;=Summary!$C$5,"Moderate","Low")))</f>
        <v/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1</v>
      </c>
      <c r="Y37" s="4" t="n">
        <v>0</v>
      </c>
      <c r="Z37" s="4" t="n">
        <v>0</v>
      </c>
      <c r="AA37" s="4" t="n">
        <v>1</v>
      </c>
      <c r="AB37" s="4" t="n">
        <v>1</v>
      </c>
      <c r="AC37" s="4" t="n">
        <v>0</v>
      </c>
      <c r="AD37" s="4" t="n">
        <v>0</v>
      </c>
      <c r="AE37" s="4" t="n">
        <v>0</v>
      </c>
      <c r="AF37" s="3" t="n">
        <v>0</v>
      </c>
      <c r="AG37" s="3" t="inlineStr"/>
    </row>
    <row r="38">
      <c r="A38" s="3" t="inlineStr">
        <is>
          <t>A037</t>
        </is>
      </c>
      <c r="B38" s="3" t="inlineStr">
        <is>
          <t>Analytics</t>
        </is>
      </c>
      <c r="C38" s="3" t="inlineStr">
        <is>
          <t>Theme 2</t>
        </is>
      </c>
      <c r="D38" s="3" t="inlineStr">
        <is>
          <t>Park &amp; Singh, 2023</t>
        </is>
      </c>
      <c r="E38" s="3" t="inlineStr">
        <is>
          <t xml:space="preserve">Cross-industry </t>
        </is>
      </c>
      <c r="F38" s="3" t="inlineStr">
        <is>
          <t xml:space="preserve">Dynamic capabilities </t>
        </is>
      </c>
      <c r="G38" s="3" t="inlineStr">
        <is>
          <t>Risk management</t>
        </is>
      </c>
      <c r="H38" s="3" t="inlineStr">
        <is>
          <t>Mixed / multi-source</t>
        </is>
      </c>
      <c r="I38" s="3" t="n">
        <v>213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0</v>
      </c>
      <c r="O38" s="3">
        <f>IF(COUNT(J38:N38)=0,"",SUM(J38:N38))</f>
        <v/>
      </c>
      <c r="P38" s="3">
        <f>IF(O38="","Not appraised",IF(O38&gt;=Summary!$C$4,"High",IF(O38&gt;=Summary!$C$5,"Moderate","Low")))</f>
        <v/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1</v>
      </c>
      <c r="X38" s="4" t="n">
        <v>1</v>
      </c>
      <c r="Y38" s="4" t="n">
        <v>0</v>
      </c>
      <c r="Z38" s="4" t="n">
        <v>0</v>
      </c>
      <c r="AA38" s="4" t="n">
        <v>0</v>
      </c>
      <c r="AB38" s="4" t="n">
        <v>0</v>
      </c>
      <c r="AC38" s="4" t="n">
        <v>0</v>
      </c>
      <c r="AD38" s="4" t="n">
        <v>0</v>
      </c>
      <c r="AE38" s="4" t="n">
        <v>0</v>
      </c>
      <c r="AF38" s="3" t="n">
        <v>0</v>
      </c>
      <c r="AG38" s="3" t="inlineStr"/>
    </row>
    <row r="39">
      <c r="A39" s="3" t="inlineStr">
        <is>
          <t>A038</t>
        </is>
      </c>
      <c r="B39" s="3" t="inlineStr">
        <is>
          <t>Analytics</t>
        </is>
      </c>
      <c r="C39" s="3" t="inlineStr">
        <is>
          <t>Theme 2</t>
        </is>
      </c>
      <c r="D39" s="3" t="inlineStr">
        <is>
          <t>Singh &amp; Kumar, 2025</t>
        </is>
      </c>
      <c r="E39" s="3" t="inlineStr">
        <is>
          <t xml:space="preserve">Electronics, steel, energy, textile &amp; heavy machinery </t>
        </is>
      </c>
      <c r="F39" s="3" t="inlineStr">
        <is>
          <t>Dynamic capability view</t>
        </is>
      </c>
      <c r="G39" s="3" t="inlineStr">
        <is>
          <t>Agility</t>
        </is>
      </c>
      <c r="H39" s="3" t="inlineStr">
        <is>
          <t>Cross-sectional single-source survey</t>
        </is>
      </c>
      <c r="I39" s="3" t="n">
        <v>284</v>
      </c>
      <c r="J39" s="4" t="n">
        <v>0</v>
      </c>
      <c r="K39" s="4" t="n">
        <v>1</v>
      </c>
      <c r="L39" s="4" t="n">
        <v>0</v>
      </c>
      <c r="M39" s="4" t="n">
        <v>0</v>
      </c>
      <c r="N39" s="4" t="n">
        <v>0</v>
      </c>
      <c r="O39" s="3">
        <f>IF(COUNT(J39:N39)=0,"",SUM(J39:N39))</f>
        <v/>
      </c>
      <c r="P39" s="3">
        <f>IF(O39="","Not appraised",IF(O39&gt;=Summary!$C$4,"High",IF(O39&gt;=Summary!$C$5,"Moderate","Low")))</f>
        <v/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1</v>
      </c>
      <c r="Y39" s="4" t="n">
        <v>0</v>
      </c>
      <c r="Z39" s="4" t="n">
        <v>0</v>
      </c>
      <c r="AA39" s="4" t="n">
        <v>0</v>
      </c>
      <c r="AB39" s="4" t="n">
        <v>1</v>
      </c>
      <c r="AC39" s="4" t="n">
        <v>0</v>
      </c>
      <c r="AD39" s="4" t="n">
        <v>0</v>
      </c>
      <c r="AE39" s="4" t="n">
        <v>0</v>
      </c>
      <c r="AF39" s="3" t="n">
        <v>0</v>
      </c>
      <c r="AG39" s="3" t="inlineStr"/>
    </row>
    <row r="40">
      <c r="A40" s="3" t="inlineStr">
        <is>
          <t>A039</t>
        </is>
      </c>
      <c r="B40" s="3" t="inlineStr">
        <is>
          <t>Analytics</t>
        </is>
      </c>
      <c r="C40" s="3" t="inlineStr">
        <is>
          <t>Theme 4</t>
        </is>
      </c>
      <c r="D40" s="3" t="inlineStr">
        <is>
          <t>Rashid, Rasheed, Ngah, Jayaratne, Rahi &amp; Tunio, 2024</t>
        </is>
      </c>
      <c r="E40" s="3" t="inlineStr">
        <is>
          <t xml:space="preserve">Manufacturing </t>
        </is>
      </c>
      <c r="F40" s="3" t="inlineStr">
        <is>
          <t>Information processing theory</t>
        </is>
      </c>
      <c r="G40" s="3" t="inlineStr">
        <is>
          <t>Risk management</t>
        </is>
      </c>
      <c r="H40" s="3" t="inlineStr">
        <is>
          <t>Cross-sectional single-source survey</t>
        </is>
      </c>
      <c r="I40" s="3" t="n">
        <v>251</v>
      </c>
      <c r="J40" s="4" t="n">
        <v>0</v>
      </c>
      <c r="K40" s="4" t="n">
        <v>1</v>
      </c>
      <c r="L40" s="4" t="n">
        <v>0</v>
      </c>
      <c r="M40" s="4" t="n">
        <v>0</v>
      </c>
      <c r="N40" s="4" t="n">
        <v>0</v>
      </c>
      <c r="O40" s="3">
        <f>IF(COUNT(J40:N40)=0,"",SUM(J40:N40))</f>
        <v/>
      </c>
      <c r="P40" s="3">
        <f>IF(O40="","Not appraised",IF(O40&gt;=Summary!$C$4,"High",IF(O40&gt;=Summary!$C$5,"Moderate","Low")))</f>
        <v/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n">
        <v>0</v>
      </c>
      <c r="AC40" s="4" t="n">
        <v>0</v>
      </c>
      <c r="AD40" s="4" t="n">
        <v>0</v>
      </c>
      <c r="AE40" s="4" t="n">
        <v>0</v>
      </c>
      <c r="AF40" s="3" t="n">
        <v>0</v>
      </c>
      <c r="AG40" s="3" t="inlineStr"/>
    </row>
    <row r="41">
      <c r="A41" s="3" t="inlineStr">
        <is>
          <t>A040</t>
        </is>
      </c>
      <c r="B41" s="3" t="inlineStr">
        <is>
          <t>Analytics</t>
        </is>
      </c>
      <c r="C41" s="3" t="inlineStr">
        <is>
          <t>Theme 4</t>
        </is>
      </c>
      <c r="D41" s="3" t="inlineStr">
        <is>
          <t>Dennehy et al., 2021</t>
        </is>
      </c>
      <c r="E41" s="3" t="inlineStr">
        <is>
          <t>Humanitarian  supply chains</t>
        </is>
      </c>
      <c r="F41" s="3" t="inlineStr">
        <is>
          <t>Not stated</t>
        </is>
      </c>
      <c r="G41" s="3" t="inlineStr">
        <is>
          <t>Resilience</t>
        </is>
      </c>
      <c r="H41" s="3" t="inlineStr">
        <is>
          <t>Cross-sectional single-source survey</t>
        </is>
      </c>
      <c r="I41" s="3" t="n">
        <v>135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3">
        <f>IF(COUNT(J41:N41)=0,"",SUM(J41:N41))</f>
        <v/>
      </c>
      <c r="P41" s="3">
        <f>IF(O41="","Not appraised",IF(O41&gt;=Summary!$C$4,"High",IF(O41&gt;=Summary!$C$5,"Moderate","Low")))</f>
        <v/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1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n">
        <v>0</v>
      </c>
      <c r="AF41" s="3" t="n">
        <v>0</v>
      </c>
      <c r="AG41" s="3" t="inlineStr"/>
    </row>
    <row r="42">
      <c r="A42" s="3" t="inlineStr">
        <is>
          <t>A041</t>
        </is>
      </c>
      <c r="B42" s="3" t="inlineStr">
        <is>
          <t>Analytics</t>
        </is>
      </c>
      <c r="C42" s="3" t="inlineStr">
        <is>
          <t>Theme 4</t>
        </is>
      </c>
      <c r="D42" s="3" t="inlineStr">
        <is>
          <t>Zhang &amp; Zhao, 2019</t>
        </is>
      </c>
      <c r="E42" s="3" t="inlineStr">
        <is>
          <t xml:space="preserve">Manufacturing </t>
        </is>
      </c>
      <c r="F42" s="3" t="inlineStr">
        <is>
          <t>Information processing perspective</t>
        </is>
      </c>
      <c r="G42" s="3" t="inlineStr">
        <is>
          <t>Resilience</t>
        </is>
      </c>
      <c r="H42" s="3" t="inlineStr">
        <is>
          <t>Cross-sectional single-source survey</t>
        </is>
      </c>
      <c r="I42" s="3" t="n">
        <v>142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1</v>
      </c>
      <c r="O42" s="3">
        <f>IF(COUNT(J42:N42)=0,"",SUM(J42:N42))</f>
        <v/>
      </c>
      <c r="P42" s="3">
        <f>IF(O42="","Not appraised",IF(O42&gt;=Summary!$C$4,"High",IF(O42&gt;=Summary!$C$5,"Moderate","Low")))</f>
        <v/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1</v>
      </c>
      <c r="Y42" s="4" t="n">
        <v>0</v>
      </c>
      <c r="Z42" s="4" t="n">
        <v>0</v>
      </c>
      <c r="AA42" s="4" t="n">
        <v>0</v>
      </c>
      <c r="AB42" s="4" t="n">
        <v>0</v>
      </c>
      <c r="AC42" s="4" t="n">
        <v>0</v>
      </c>
      <c r="AD42" s="4" t="n">
        <v>0</v>
      </c>
      <c r="AE42" s="4" t="n">
        <v>0</v>
      </c>
      <c r="AF42" s="3" t="n">
        <v>0</v>
      </c>
      <c r="AG42" s="3" t="inlineStr"/>
    </row>
    <row r="43">
      <c r="A43" s="3" t="inlineStr">
        <is>
          <t>A042</t>
        </is>
      </c>
      <c r="B43" s="3" t="inlineStr">
        <is>
          <t>Analytics</t>
        </is>
      </c>
      <c r="C43" s="3" t="inlineStr">
        <is>
          <t>Theme 4</t>
        </is>
      </c>
      <c r="D43" s="3" t="inlineStr">
        <is>
          <t>Iftikhar et al., 2023</t>
        </is>
      </c>
      <c r="E43" s="3" t="inlineStr">
        <is>
          <t xml:space="preserve">Manufacturing </t>
        </is>
      </c>
      <c r="F43" s="3" t="inlineStr">
        <is>
          <t xml:space="preserve">Complexity/resilience perspective </t>
        </is>
      </c>
      <c r="G43" s="3" t="inlineStr">
        <is>
          <t>Resilience</t>
        </is>
      </c>
      <c r="H43" s="3" t="inlineStr">
        <is>
          <t>Cross-sectional single-source survey</t>
        </is>
      </c>
      <c r="I43" s="3" t="n">
        <v>166</v>
      </c>
      <c r="J43" s="4" t="n">
        <v>0</v>
      </c>
      <c r="K43" s="4" t="n">
        <v>1</v>
      </c>
      <c r="L43" s="4" t="n">
        <v>0</v>
      </c>
      <c r="M43" s="4" t="n">
        <v>0</v>
      </c>
      <c r="N43" s="4" t="n">
        <v>1</v>
      </c>
      <c r="O43" s="3">
        <f>IF(COUNT(J43:N43)=0,"",SUM(J43:N43))</f>
        <v/>
      </c>
      <c r="P43" s="3">
        <f>IF(O43="","Not appraised",IF(O43&gt;=Summary!$C$4,"High",IF(O43&gt;=Summary!$C$5,"Moderate","Low")))</f>
        <v/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1</v>
      </c>
      <c r="Y43" s="4" t="n">
        <v>0</v>
      </c>
      <c r="Z43" s="4" t="n">
        <v>0</v>
      </c>
      <c r="AA43" s="4" t="n">
        <v>0</v>
      </c>
      <c r="AB43" s="4" t="n">
        <v>0</v>
      </c>
      <c r="AC43" s="4" t="n">
        <v>0</v>
      </c>
      <c r="AD43" s="4" t="n">
        <v>0</v>
      </c>
      <c r="AE43" s="4" t="n">
        <v>0</v>
      </c>
      <c r="AF43" s="3" t="n">
        <v>0</v>
      </c>
      <c r="AG43" s="3" t="inlineStr"/>
    </row>
    <row r="44">
      <c r="A44" s="3" t="inlineStr">
        <is>
          <t>A043</t>
        </is>
      </c>
      <c r="B44" s="3" t="inlineStr">
        <is>
          <t>Analytics</t>
        </is>
      </c>
      <c r="C44" s="3" t="inlineStr">
        <is>
          <t>Theme 4</t>
        </is>
      </c>
      <c r="D44" s="3" t="inlineStr">
        <is>
          <t>Bhuiyan et al., 2025</t>
        </is>
      </c>
      <c r="E44" s="3" t="inlineStr">
        <is>
          <t>Healthcare</t>
        </is>
      </c>
      <c r="F44" s="3" t="inlineStr">
        <is>
          <t>Organizational Information Processing (OIP) theory; Dynamic capabilities</t>
        </is>
      </c>
      <c r="G44" s="3" t="inlineStr">
        <is>
          <t>Innovation</t>
        </is>
      </c>
      <c r="H44" s="3" t="inlineStr">
        <is>
          <t>Cross-sectional single-source survey</t>
        </is>
      </c>
      <c r="I44" s="3" t="n">
        <v>336</v>
      </c>
      <c r="J44" s="4" t="n">
        <v>0</v>
      </c>
      <c r="K44" s="4" t="n">
        <v>1</v>
      </c>
      <c r="L44" s="4" t="n">
        <v>0</v>
      </c>
      <c r="M44" s="4" t="n">
        <v>0</v>
      </c>
      <c r="N44" s="4" t="n">
        <v>0</v>
      </c>
      <c r="O44" s="3">
        <f>IF(COUNT(J44:N44)=0,"",SUM(J44:N44))</f>
        <v/>
      </c>
      <c r="P44" s="3">
        <f>IF(O44="","Not appraised",IF(O44&gt;=Summary!$C$4,"High",IF(O44&gt;=Summary!$C$5,"Moderate","Low")))</f>
        <v/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1</v>
      </c>
      <c r="Y44" s="4" t="n">
        <v>0</v>
      </c>
      <c r="Z44" s="4" t="n">
        <v>0</v>
      </c>
      <c r="AA44" s="4" t="n">
        <v>0</v>
      </c>
      <c r="AB44" s="4" t="n">
        <v>0</v>
      </c>
      <c r="AC44" s="4" t="n">
        <v>0</v>
      </c>
      <c r="AD44" s="4" t="n">
        <v>0</v>
      </c>
      <c r="AE44" s="4" t="n">
        <v>0</v>
      </c>
      <c r="AF44" s="3" t="n">
        <v>0</v>
      </c>
      <c r="AG44" s="3" t="inlineStr"/>
    </row>
    <row r="45">
      <c r="A45" s="3" t="inlineStr">
        <is>
          <t>A044</t>
        </is>
      </c>
      <c r="B45" s="3" t="inlineStr">
        <is>
          <t>Analytics</t>
        </is>
      </c>
      <c r="C45" s="3" t="inlineStr">
        <is>
          <t>Theme 1</t>
        </is>
      </c>
      <c r="D45" s="3" t="inlineStr">
        <is>
          <t>Alshawabkeh et al., 2024</t>
        </is>
      </c>
      <c r="E45" s="3" t="inlineStr">
        <is>
          <t xml:space="preserve">Food processing </t>
        </is>
      </c>
      <c r="F45" s="3" t="inlineStr">
        <is>
          <t xml:space="preserve">Resource-based view (RBV) </t>
        </is>
      </c>
      <c r="G45" s="3" t="inlineStr">
        <is>
          <t>Flexibility</t>
        </is>
      </c>
      <c r="H45" s="3" t="inlineStr">
        <is>
          <t>Cross-sectional single-source survey</t>
        </is>
      </c>
      <c r="I45" s="3" t="n">
        <v>142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3">
        <f>IF(COUNT(J45:N45)=0,"",SUM(J45:N45))</f>
        <v/>
      </c>
      <c r="P45" s="3">
        <f>IF(O45="","Not appraised",IF(O45&gt;=Summary!$C$4,"High",IF(O45&gt;=Summary!$C$5,"Moderate","Low")))</f>
        <v/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1</v>
      </c>
      <c r="Y45" s="4" t="n">
        <v>1</v>
      </c>
      <c r="Z45" s="4" t="n">
        <v>0</v>
      </c>
      <c r="AA45" s="4" t="n">
        <v>1</v>
      </c>
      <c r="AB45" s="4" t="n">
        <v>1</v>
      </c>
      <c r="AC45" s="4" t="n">
        <v>0</v>
      </c>
      <c r="AD45" s="4" t="n">
        <v>0</v>
      </c>
      <c r="AE45" s="4" t="n">
        <v>0</v>
      </c>
      <c r="AF45" s="3" t="n">
        <v>0</v>
      </c>
      <c r="AG45" s="3" t="inlineStr"/>
    </row>
    <row r="46">
      <c r="A46" s="3" t="inlineStr">
        <is>
          <t>A045</t>
        </is>
      </c>
      <c r="B46" s="3" t="inlineStr">
        <is>
          <t>Analytics</t>
        </is>
      </c>
      <c r="C46" s="3" t="inlineStr">
        <is>
          <t>Theme 4</t>
        </is>
      </c>
      <c r="D46" s="3" t="inlineStr">
        <is>
          <t>Fosso Wamba et al., 2020</t>
        </is>
      </c>
      <c r="E46" s="3" t="inlineStr">
        <is>
          <t>Manufacturing</t>
        </is>
      </c>
      <c r="F46" s="3" t="inlineStr">
        <is>
          <t>Dynamic capabilities / contingency perspective</t>
        </is>
      </c>
      <c r="G46" s="3" t="inlineStr">
        <is>
          <t>Resilience</t>
        </is>
      </c>
      <c r="H46" s="3" t="inlineStr">
        <is>
          <t>Cross-sectional single-source survey</t>
        </is>
      </c>
      <c r="I46" s="3" t="n">
        <v>281</v>
      </c>
      <c r="J46" s="4" t="n">
        <v>0</v>
      </c>
      <c r="K46" s="4" t="n">
        <v>1</v>
      </c>
      <c r="L46" s="4" t="n">
        <v>0</v>
      </c>
      <c r="M46" s="4" t="n">
        <v>0</v>
      </c>
      <c r="N46" s="4" t="n">
        <v>0</v>
      </c>
      <c r="O46" s="3">
        <f>IF(COUNT(J46:N46)=0,"",SUM(J46:N46))</f>
        <v/>
      </c>
      <c r="P46" s="3">
        <f>IF(O46="","Not appraised",IF(O46&gt;=Summary!$C$4,"High",IF(O46&gt;=Summary!$C$5,"Moderate","Low")))</f>
        <v/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1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1</v>
      </c>
      <c r="AF46" s="3" t="n">
        <v>0</v>
      </c>
      <c r="AG46" s="3" t="inlineStr"/>
    </row>
    <row r="47">
      <c r="A47" s="3" t="inlineStr">
        <is>
          <t>A046</t>
        </is>
      </c>
      <c r="B47" s="3" t="inlineStr">
        <is>
          <t>Analytics</t>
        </is>
      </c>
      <c r="C47" s="3" t="inlineStr">
        <is>
          <t>Theme 4</t>
        </is>
      </c>
      <c r="D47" s="3" t="inlineStr">
        <is>
          <t>Bahrami &amp; Shokouhyar, 2021</t>
        </is>
      </c>
      <c r="E47" s="3" t="inlineStr">
        <is>
          <t xml:space="preserve">Cross-industry </t>
        </is>
      </c>
      <c r="F47" s="3" t="inlineStr">
        <is>
          <t>Dynamic capabilities view (DCV)</t>
        </is>
      </c>
      <c r="G47" s="3" t="inlineStr">
        <is>
          <t>Innovation</t>
        </is>
      </c>
      <c r="H47" s="3" t="inlineStr">
        <is>
          <t>Cross-sectional single-source survey</t>
        </is>
      </c>
      <c r="I47" s="3" t="n">
        <v>167</v>
      </c>
      <c r="J47" s="4" t="n">
        <v>0</v>
      </c>
      <c r="K47" s="4" t="n">
        <v>1</v>
      </c>
      <c r="L47" s="4" t="n">
        <v>0</v>
      </c>
      <c r="M47" s="4" t="n">
        <v>0</v>
      </c>
      <c r="N47" s="4" t="n">
        <v>0</v>
      </c>
      <c r="O47" s="3">
        <f>IF(COUNT(J47:N47)=0,"",SUM(J47:N47))</f>
        <v/>
      </c>
      <c r="P47" s="3">
        <f>IF(O47="","Not appraised",IF(O47&gt;=Summary!$C$4,"High",IF(O47&gt;=Summary!$C$5,"Moderate","Low")))</f>
        <v/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1</v>
      </c>
      <c r="Y47" s="4" t="n">
        <v>0</v>
      </c>
      <c r="Z47" s="4" t="n">
        <v>0</v>
      </c>
      <c r="AA47" s="4" t="n">
        <v>0</v>
      </c>
      <c r="AB47" s="4" t="n">
        <v>0</v>
      </c>
      <c r="AC47" s="4" t="n">
        <v>0</v>
      </c>
      <c r="AD47" s="4" t="n">
        <v>0</v>
      </c>
      <c r="AE47" s="4" t="n">
        <v>0</v>
      </c>
      <c r="AF47" s="3" t="n">
        <v>0</v>
      </c>
      <c r="AG47" s="3" t="inlineStr"/>
    </row>
    <row r="48">
      <c r="A48" s="3" t="inlineStr">
        <is>
          <t>A047</t>
        </is>
      </c>
      <c r="B48" s="3" t="inlineStr">
        <is>
          <t>Analytics</t>
        </is>
      </c>
      <c r="C48" s="3" t="inlineStr">
        <is>
          <t>Theme 3</t>
        </is>
      </c>
      <c r="D48" s="3" t="inlineStr">
        <is>
          <t>Papadopoulos et al., 2017</t>
        </is>
      </c>
      <c r="E48" s="3" t="inlineStr">
        <is>
          <t>Humanitarian  supply chains</t>
        </is>
      </c>
      <c r="F48" s="3" t="inlineStr">
        <is>
          <t>Resilience framework; disaster resilience concepts)</t>
        </is>
      </c>
      <c r="G48" s="3" t="inlineStr">
        <is>
          <t>Coordination</t>
        </is>
      </c>
      <c r="H48" s="3" t="inlineStr">
        <is>
          <t>Mixed / multi-source</t>
        </is>
      </c>
      <c r="I48" s="3" t="n">
        <v>205</v>
      </c>
      <c r="J48" s="4" t="n">
        <v>1</v>
      </c>
      <c r="K48" s="4" t="n">
        <v>1</v>
      </c>
      <c r="L48" s="4" t="n">
        <v>1</v>
      </c>
      <c r="M48" s="4" t="n">
        <v>1</v>
      </c>
      <c r="N48" s="4" t="n">
        <v>0</v>
      </c>
      <c r="O48" s="3">
        <f>IF(COUNT(J48:N48)=0,"",SUM(J48:N48))</f>
        <v/>
      </c>
      <c r="P48" s="3">
        <f>IF(O48="","Not appraised",IF(O48&gt;=Summary!$C$4,"High",IF(O48&gt;=Summary!$C$5,"Moderate","Low")))</f>
        <v/>
      </c>
      <c r="Q48" s="4" t="n">
        <v>0</v>
      </c>
      <c r="R48" s="4" t="n">
        <v>0</v>
      </c>
      <c r="S48" s="4" t="n">
        <v>0</v>
      </c>
      <c r="T48" s="4" t="n">
        <v>1</v>
      </c>
      <c r="U48" s="4" t="n">
        <v>1</v>
      </c>
      <c r="V48" s="4" t="n">
        <v>0</v>
      </c>
      <c r="W48" s="4" t="n">
        <v>0</v>
      </c>
      <c r="X48" s="4" t="n">
        <v>1</v>
      </c>
      <c r="Y48" s="4" t="n">
        <v>0</v>
      </c>
      <c r="Z48" s="4" t="n">
        <v>0</v>
      </c>
      <c r="AA48" s="4" t="n">
        <v>0</v>
      </c>
      <c r="AB48" s="4" t="n">
        <v>0</v>
      </c>
      <c r="AC48" s="4" t="n">
        <v>0</v>
      </c>
      <c r="AD48" s="4" t="n">
        <v>0</v>
      </c>
      <c r="AE48" s="4" t="n">
        <v>0</v>
      </c>
      <c r="AF48" s="3" t="n">
        <v>0</v>
      </c>
      <c r="AG48" s="3" t="inlineStr"/>
    </row>
    <row r="49">
      <c r="A49" s="3" t="inlineStr">
        <is>
          <t>A048</t>
        </is>
      </c>
      <c r="B49" s="3" t="inlineStr">
        <is>
          <t>Analytics</t>
        </is>
      </c>
      <c r="C49" s="3" t="inlineStr">
        <is>
          <t>Theme 4</t>
        </is>
      </c>
      <c r="D49" s="3" t="inlineStr">
        <is>
          <t>Yamin, 2024</t>
        </is>
      </c>
      <c r="E49" s="3" t="inlineStr">
        <is>
          <t>Logistics firms</t>
        </is>
      </c>
      <c r="F49" s="3" t="inlineStr">
        <is>
          <t xml:space="preserve">Psychological resilience theory; Resource-based perspective </t>
        </is>
      </c>
      <c r="G49" s="3" t="inlineStr">
        <is>
          <t>Resilience</t>
        </is>
      </c>
      <c r="H49" s="3" t="inlineStr">
        <is>
          <t>Cross-sectional single-source survey</t>
        </is>
      </c>
      <c r="I49" s="3" t="n">
        <v>219</v>
      </c>
      <c r="J49" s="4" t="n">
        <v>0</v>
      </c>
      <c r="K49" s="4" t="n">
        <v>1</v>
      </c>
      <c r="L49" s="4" t="n">
        <v>0</v>
      </c>
      <c r="M49" s="4" t="n">
        <v>0</v>
      </c>
      <c r="N49" s="4" t="n">
        <v>0</v>
      </c>
      <c r="O49" s="3">
        <f>IF(COUNT(J49:N49)=0,"",SUM(J49:N49))</f>
        <v/>
      </c>
      <c r="P49" s="3">
        <f>IF(O49="","Not appraised",IF(O49&gt;=Summary!$C$4,"High",IF(O49&gt;=Summary!$C$5,"Moderate","Low")))</f>
        <v/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1</v>
      </c>
      <c r="Y49" s="4" t="n">
        <v>0</v>
      </c>
      <c r="Z49" s="4" t="n">
        <v>0</v>
      </c>
      <c r="AA49" s="4" t="n">
        <v>0</v>
      </c>
      <c r="AB49" s="4" t="n">
        <v>0</v>
      </c>
      <c r="AC49" s="4" t="n">
        <v>1</v>
      </c>
      <c r="AD49" s="4" t="n">
        <v>0</v>
      </c>
      <c r="AE49" s="4" t="n">
        <v>0</v>
      </c>
      <c r="AF49" s="3" t="n">
        <v>0</v>
      </c>
      <c r="AG49" s="3" t="inlineStr"/>
    </row>
    <row r="50">
      <c r="A50" s="3" t="inlineStr">
        <is>
          <t>A049</t>
        </is>
      </c>
      <c r="B50" s="3" t="inlineStr">
        <is>
          <t>Analytics</t>
        </is>
      </c>
      <c r="C50" s="3" t="inlineStr">
        <is>
          <t>Theme 2</t>
        </is>
      </c>
      <c r="D50" s="3" t="inlineStr">
        <is>
          <t>Tetteh et al., 2025</t>
        </is>
      </c>
      <c r="E50" s="3" t="inlineStr">
        <is>
          <t xml:space="preserve">Healthcare </t>
        </is>
      </c>
      <c r="F50" s="3" t="inlineStr">
        <is>
          <t xml:space="preserve">Practice-based view </t>
        </is>
      </c>
      <c r="G50" s="3" t="inlineStr">
        <is>
          <t xml:space="preserve"> Responsiveness</t>
        </is>
      </c>
      <c r="H50" s="3" t="inlineStr">
        <is>
          <t>Cross-sectional single-source survey</t>
        </is>
      </c>
      <c r="I50" s="3" t="n">
        <v>374</v>
      </c>
      <c r="J50" s="4" t="n">
        <v>0</v>
      </c>
      <c r="K50" s="4" t="n">
        <v>1</v>
      </c>
      <c r="L50" s="4" t="n">
        <v>0</v>
      </c>
      <c r="M50" s="4" t="n">
        <v>0</v>
      </c>
      <c r="N50" s="4" t="n">
        <v>0</v>
      </c>
      <c r="O50" s="3">
        <f>IF(COUNT(J50:N50)=0,"",SUM(J50:N50))</f>
        <v/>
      </c>
      <c r="P50" s="3">
        <f>IF(O50="","Not appraised",IF(O50&gt;=Summary!$C$4,"High",IF(O50&gt;=Summary!$C$5,"Moderate","Low")))</f>
        <v/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1</v>
      </c>
      <c r="Y50" s="4" t="n">
        <v>0</v>
      </c>
      <c r="Z50" s="4" t="n">
        <v>0</v>
      </c>
      <c r="AA50" s="4" t="n">
        <v>0</v>
      </c>
      <c r="AB50" s="4" t="n">
        <v>1</v>
      </c>
      <c r="AC50" s="4" t="n">
        <v>0</v>
      </c>
      <c r="AD50" s="4" t="n">
        <v>0</v>
      </c>
      <c r="AE50" s="4" t="n">
        <v>0</v>
      </c>
      <c r="AF50" s="3" t="n">
        <v>0</v>
      </c>
      <c r="AG50" s="3" t="inlineStr"/>
    </row>
    <row r="51">
      <c r="A51" s="3" t="inlineStr">
        <is>
          <t>A050</t>
        </is>
      </c>
      <c r="B51" s="3" t="inlineStr">
        <is>
          <t>Analytics</t>
        </is>
      </c>
      <c r="C51" s="3" t="inlineStr">
        <is>
          <t>Theme 4</t>
        </is>
      </c>
      <c r="D51" s="3" t="inlineStr">
        <is>
          <t>Piprani et al., 2023</t>
        </is>
      </c>
      <c r="E51" s="3" t="inlineStr">
        <is>
          <t xml:space="preserve">Manufacturing </t>
        </is>
      </c>
      <c r="F51" s="3" t="inlineStr">
        <is>
          <t xml:space="preserve">Dynamic capability view </t>
        </is>
      </c>
      <c r="G51" s="3" t="inlineStr">
        <is>
          <t>Innovation</t>
        </is>
      </c>
      <c r="H51" s="3" t="inlineStr">
        <is>
          <t>Cross-sectional single-source survey</t>
        </is>
      </c>
      <c r="I51" s="3" t="n">
        <v>259</v>
      </c>
      <c r="J51" s="4" t="n">
        <v>0</v>
      </c>
      <c r="K51" s="4" t="n">
        <v>1</v>
      </c>
      <c r="L51" s="4" t="n">
        <v>0</v>
      </c>
      <c r="M51" s="4" t="n">
        <v>0</v>
      </c>
      <c r="N51" s="4" t="n">
        <v>1</v>
      </c>
      <c r="O51" s="3">
        <f>IF(COUNT(J51:N51)=0,"",SUM(J51:N51))</f>
        <v/>
      </c>
      <c r="P51" s="3">
        <f>IF(O51="","Not appraised",IF(O51&gt;=Summary!$C$4,"High",IF(O51&gt;=Summary!$C$5,"Moderate","Low")))</f>
        <v/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1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3" t="n">
        <v>0</v>
      </c>
      <c r="AG51" s="3" t="inlineStr"/>
    </row>
    <row r="52">
      <c r="A52" s="3" t="inlineStr">
        <is>
          <t>A051</t>
        </is>
      </c>
      <c r="B52" s="3" t="inlineStr">
        <is>
          <t>Analytics</t>
        </is>
      </c>
      <c r="C52" s="3" t="inlineStr">
        <is>
          <t>Theme 4</t>
        </is>
      </c>
      <c r="D52" s="3" t="inlineStr">
        <is>
          <t>Seif &amp; Jafari, 2025</t>
        </is>
      </c>
      <c r="E52" s="3" t="inlineStr">
        <is>
          <t>Manufacturing, wholesale &amp; retail</t>
        </is>
      </c>
      <c r="F52" s="3" t="inlineStr">
        <is>
          <t>Dynamic capability view; Contingency theory</t>
        </is>
      </c>
      <c r="G52" s="3" t="inlineStr">
        <is>
          <t>Integration</t>
        </is>
      </c>
      <c r="H52" s="3" t="inlineStr">
        <is>
          <t>Cross-sectional single-source survey</t>
        </is>
      </c>
      <c r="I52" s="3" t="n">
        <v>165</v>
      </c>
      <c r="J52" s="4" t="n">
        <v>0</v>
      </c>
      <c r="K52" s="4" t="n">
        <v>1</v>
      </c>
      <c r="L52" s="4" t="n">
        <v>1</v>
      </c>
      <c r="M52" s="4" t="n">
        <v>0</v>
      </c>
      <c r="N52" s="4" t="n">
        <v>1</v>
      </c>
      <c r="O52" s="3">
        <f>IF(COUNT(J52:N52)=0,"",SUM(J52:N52))</f>
        <v/>
      </c>
      <c r="P52" s="3">
        <f>IF(O52="","Not appraised",IF(O52&gt;=Summary!$C$4,"High",IF(O52&gt;=Summary!$C$5,"Moderate","Low")))</f>
        <v/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1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3" t="n">
        <v>1</v>
      </c>
      <c r="AG52" s="3" t="inlineStr"/>
    </row>
    <row r="53">
      <c r="A53" s="3" t="inlineStr">
        <is>
          <t>A052</t>
        </is>
      </c>
      <c r="B53" s="3" t="inlineStr">
        <is>
          <t>Analytics</t>
        </is>
      </c>
      <c r="C53" s="3" t="inlineStr">
        <is>
          <t>Theme 1</t>
        </is>
      </c>
      <c r="D53" s="3" t="inlineStr">
        <is>
          <t>Munir et al., 2023</t>
        </is>
      </c>
      <c r="E53" s="3" t="inlineStr">
        <is>
          <t xml:space="preserve">Product-based industries </t>
        </is>
      </c>
      <c r="F53" s="3" t="inlineStr">
        <is>
          <t xml:space="preserve">Dynamic capability theory </t>
        </is>
      </c>
      <c r="G53" s="3" t="inlineStr">
        <is>
          <t>Agility</t>
        </is>
      </c>
      <c r="H53" s="3" t="inlineStr">
        <is>
          <t>Cross-sectional single-source survey</t>
        </is>
      </c>
      <c r="I53" s="3" t="n">
        <v>427</v>
      </c>
      <c r="J53" s="4" t="n">
        <v>0</v>
      </c>
      <c r="K53" s="4" t="n">
        <v>1</v>
      </c>
      <c r="L53" s="4" t="n">
        <v>0</v>
      </c>
      <c r="M53" s="4" t="n">
        <v>0</v>
      </c>
      <c r="N53" s="4" t="n">
        <v>1</v>
      </c>
      <c r="O53" s="3">
        <f>IF(COUNT(J53:N53)=0,"",SUM(J53:N53))</f>
        <v/>
      </c>
      <c r="P53" s="3">
        <f>IF(O53="","Not appraised",IF(O53&gt;=Summary!$C$4,"High",IF(O53&gt;=Summary!$C$5,"Moderate","Low")))</f>
        <v/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1</v>
      </c>
      <c r="Y53" s="4" t="n">
        <v>1</v>
      </c>
      <c r="Z53" s="4" t="n">
        <v>0</v>
      </c>
      <c r="AA53" s="4" t="n">
        <v>0</v>
      </c>
      <c r="AB53" s="4" t="n">
        <v>1</v>
      </c>
      <c r="AC53" s="4" t="n">
        <v>0</v>
      </c>
      <c r="AD53" s="4" t="n">
        <v>0</v>
      </c>
      <c r="AE53" s="4" t="n">
        <v>1</v>
      </c>
      <c r="AF53" s="3" t="n">
        <v>0</v>
      </c>
      <c r="AG53" s="3" t="inlineStr"/>
    </row>
    <row r="54">
      <c r="A54" s="3" t="inlineStr">
        <is>
          <t>A053</t>
        </is>
      </c>
      <c r="B54" s="3" t="inlineStr">
        <is>
          <t>Analytics</t>
        </is>
      </c>
      <c r="C54" s="3" t="inlineStr">
        <is>
          <t>Theme 4</t>
        </is>
      </c>
      <c r="D54" s="3" t="inlineStr">
        <is>
          <t>Munir et al., 2024</t>
        </is>
      </c>
      <c r="E54" s="3" t="inlineStr">
        <is>
          <t xml:space="preserve">Product-based industries </t>
        </is>
      </c>
      <c r="F54" s="3" t="inlineStr">
        <is>
          <t>Dynamic capability view</t>
        </is>
      </c>
      <c r="G54" s="3" t="inlineStr">
        <is>
          <t>Adaptability</t>
        </is>
      </c>
      <c r="H54" s="3" t="inlineStr">
        <is>
          <t>Cross-sectional single-source survey</t>
        </is>
      </c>
      <c r="I54" s="3" t="n">
        <v>406</v>
      </c>
      <c r="J54" s="4" t="n">
        <v>0</v>
      </c>
      <c r="K54" s="4" t="n">
        <v>1</v>
      </c>
      <c r="L54" s="4" t="n">
        <v>0</v>
      </c>
      <c r="M54" s="4" t="n">
        <v>0</v>
      </c>
      <c r="N54" s="4" t="n">
        <v>1</v>
      </c>
      <c r="O54" s="3">
        <f>IF(COUNT(J54:N54)=0,"",SUM(J54:N54))</f>
        <v/>
      </c>
      <c r="P54" s="3">
        <f>IF(O54="","Not appraised",IF(O54&gt;=Summary!$C$4,"High",IF(O54&gt;=Summary!$C$5,"Moderate","Low")))</f>
        <v/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1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1</v>
      </c>
      <c r="AD54" s="4" t="n">
        <v>0</v>
      </c>
      <c r="AE54" s="4" t="n">
        <v>1</v>
      </c>
      <c r="AF54" s="3" t="n">
        <v>0</v>
      </c>
      <c r="AG54" s="3" t="inlineStr"/>
    </row>
    <row r="55">
      <c r="A55" s="3" t="inlineStr">
        <is>
          <t>A054</t>
        </is>
      </c>
      <c r="B55" s="3" t="inlineStr">
        <is>
          <t>Analytics</t>
        </is>
      </c>
      <c r="C55" s="3" t="inlineStr">
        <is>
          <t>Theme 1</t>
        </is>
      </c>
      <c r="D55" s="3" t="inlineStr">
        <is>
          <t>Munir et al., 2025</t>
        </is>
      </c>
      <c r="E55" s="3" t="inlineStr">
        <is>
          <t xml:space="preserve">Fast-moving consumer goods </t>
        </is>
      </c>
      <c r="F55" s="3" t="inlineStr">
        <is>
          <t xml:space="preserve">Dynamic capability view </t>
        </is>
      </c>
      <c r="G55" s="3" t="inlineStr">
        <is>
          <t>Agility</t>
        </is>
      </c>
      <c r="H55" s="3" t="inlineStr">
        <is>
          <t>Cross-sectional single-source survey</t>
        </is>
      </c>
      <c r="I55" s="3" t="n">
        <v>416</v>
      </c>
      <c r="J55" s="4" t="n">
        <v>0</v>
      </c>
      <c r="K55" s="4" t="n">
        <v>1</v>
      </c>
      <c r="L55" s="4" t="n">
        <v>1</v>
      </c>
      <c r="M55" s="4" t="n">
        <v>1</v>
      </c>
      <c r="N55" s="4" t="n">
        <v>1</v>
      </c>
      <c r="O55" s="3">
        <f>IF(COUNT(J55:N55)=0,"",SUM(J55:N55))</f>
        <v/>
      </c>
      <c r="P55" s="3">
        <f>IF(O55="","Not appraised",IF(O55&gt;=Summary!$C$4,"High",IF(O55&gt;=Summary!$C$5,"Moderate","Low")))</f>
        <v/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1</v>
      </c>
      <c r="Y55" s="4" t="n">
        <v>1</v>
      </c>
      <c r="Z55" s="4" t="n">
        <v>0</v>
      </c>
      <c r="AA55" s="4" t="n">
        <v>0</v>
      </c>
      <c r="AB55" s="4" t="n">
        <v>1</v>
      </c>
      <c r="AC55" s="4" t="n">
        <v>0</v>
      </c>
      <c r="AD55" s="4" t="n">
        <v>0</v>
      </c>
      <c r="AE55" s="4" t="n">
        <v>0</v>
      </c>
      <c r="AF55" s="3" t="n">
        <v>0</v>
      </c>
      <c r="AG55" s="3" t="inlineStr"/>
    </row>
    <row r="56">
      <c r="A56" s="3" t="inlineStr">
        <is>
          <t>A055</t>
        </is>
      </c>
      <c r="B56" s="3" t="inlineStr">
        <is>
          <t>Analytics</t>
        </is>
      </c>
      <c r="C56" s="3" t="inlineStr">
        <is>
          <t>Theme 3</t>
        </is>
      </c>
      <c r="D56" s="3" t="inlineStr">
        <is>
          <t>Jiang, Wang &amp; Jiang, 2025</t>
        </is>
      </c>
      <c r="E56" s="3" t="inlineStr">
        <is>
          <t xml:space="preserve">Manufacturing </t>
        </is>
      </c>
      <c r="F56" s="3" t="inlineStr">
        <is>
          <t xml:space="preserve">Organizational information processing theory </t>
        </is>
      </c>
      <c r="G56" s="3" t="inlineStr">
        <is>
          <t>Resilience</t>
        </is>
      </c>
      <c r="H56" s="3" t="inlineStr">
        <is>
          <t>Cross-sectional single-source survey</t>
        </is>
      </c>
      <c r="I56" s="3" t="n">
        <v>375</v>
      </c>
      <c r="J56" s="4" t="n">
        <v>0</v>
      </c>
      <c r="K56" s="4" t="n">
        <v>1</v>
      </c>
      <c r="L56" s="4" t="n">
        <v>0</v>
      </c>
      <c r="M56" s="4" t="n">
        <v>0</v>
      </c>
      <c r="N56" s="4" t="n">
        <v>0</v>
      </c>
      <c r="O56" s="3">
        <f>IF(COUNT(J56:N56)=0,"",SUM(J56:N56))</f>
        <v/>
      </c>
      <c r="P56" s="3">
        <f>IF(O56="","Not appraised",IF(O56&gt;=Summary!$C$4,"High",IF(O56&gt;=Summary!$C$5,"Moderate","Low")))</f>
        <v/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1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3" t="n">
        <v>1</v>
      </c>
      <c r="AG56" s="3" t="inlineStr"/>
    </row>
    <row r="57">
      <c r="A57" s="3" t="inlineStr">
        <is>
          <t>A056</t>
        </is>
      </c>
      <c r="B57" s="3" t="inlineStr">
        <is>
          <t>Analytics</t>
        </is>
      </c>
      <c r="C57" s="3" t="inlineStr">
        <is>
          <t>Theme 4</t>
        </is>
      </c>
      <c r="D57" s="3" t="inlineStr">
        <is>
          <t>Laguir, Modgil, Bose, Gupta &amp; Stekelorum, 2023</t>
        </is>
      </c>
      <c r="E57" s="3" t="inlineStr">
        <is>
          <t>Manufacturing</t>
        </is>
      </c>
      <c r="F57" s="3" t="inlineStr">
        <is>
          <t xml:space="preserve">Dynamic capability view; organizational information processing theory </t>
        </is>
      </c>
      <c r="G57" s="3" t="inlineStr">
        <is>
          <t>Resilience</t>
        </is>
      </c>
      <c r="H57" s="3" t="inlineStr">
        <is>
          <t>Cross-sectional single-source survey</t>
        </is>
      </c>
      <c r="I57" s="3" t="n">
        <v>405</v>
      </c>
      <c r="J57" s="4" t="n">
        <v>0</v>
      </c>
      <c r="K57" s="4" t="n">
        <v>1</v>
      </c>
      <c r="L57" s="4" t="n">
        <v>0</v>
      </c>
      <c r="M57" s="4" t="n">
        <v>0</v>
      </c>
      <c r="N57" s="4" t="n">
        <v>1</v>
      </c>
      <c r="O57" s="3">
        <f>IF(COUNT(J57:N57)=0,"",SUM(J57:N57))</f>
        <v/>
      </c>
      <c r="P57" s="3">
        <f>IF(O57="","Not appraised",IF(O57&gt;=Summary!$C$4,"High",IF(O57&gt;=Summary!$C$5,"Moderate","Low")))</f>
        <v/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1</v>
      </c>
      <c r="Y57" s="4" t="n">
        <v>0</v>
      </c>
      <c r="Z57" s="4" t="n">
        <v>0</v>
      </c>
      <c r="AA57" s="4" t="n">
        <v>0</v>
      </c>
      <c r="AB57" s="4" t="n">
        <v>0</v>
      </c>
      <c r="AC57" s="4" t="n">
        <v>0</v>
      </c>
      <c r="AD57" s="4" t="n">
        <v>0</v>
      </c>
      <c r="AE57" s="4" t="n">
        <v>0</v>
      </c>
      <c r="AF57" s="3" t="n">
        <v>0</v>
      </c>
      <c r="AG57" s="3" t="inlineStr"/>
    </row>
    <row r="58">
      <c r="A58" s="3" t="inlineStr">
        <is>
          <t>A057</t>
        </is>
      </c>
      <c r="B58" s="3" t="inlineStr">
        <is>
          <t>Analytics</t>
        </is>
      </c>
      <c r="C58" s="3" t="inlineStr">
        <is>
          <t>Theme 2</t>
        </is>
      </c>
      <c r="D58" s="3" t="inlineStr">
        <is>
          <t>Cui, Wang, Liu &amp; Cao, 2024</t>
        </is>
      </c>
      <c r="E58" s="3" t="inlineStr">
        <is>
          <t xml:space="preserve">Manufacturing </t>
        </is>
      </c>
      <c r="F58" s="3" t="inlineStr">
        <is>
          <t>Information processing theory</t>
        </is>
      </c>
      <c r="G58" s="3" t="inlineStr">
        <is>
          <t>Agility</t>
        </is>
      </c>
      <c r="H58" s="3" t="inlineStr">
        <is>
          <t>Multi-wave / multi-respondent survey</t>
        </is>
      </c>
      <c r="I58" s="3" t="n">
        <v>438</v>
      </c>
      <c r="J58" s="4" t="n">
        <v>1</v>
      </c>
      <c r="K58" s="4" t="n">
        <v>1</v>
      </c>
      <c r="L58" s="4" t="n">
        <v>0</v>
      </c>
      <c r="M58" s="4" t="n">
        <v>1</v>
      </c>
      <c r="N58" s="4" t="n">
        <v>1</v>
      </c>
      <c r="O58" s="3">
        <f>IF(COUNT(J58:N58)=0,"",SUM(J58:N58))</f>
        <v/>
      </c>
      <c r="P58" s="3">
        <f>IF(O58="","Not appraised",IF(O58&gt;=Summary!$C$4,"High",IF(O58&gt;=Summary!$C$5,"Moderate","Low")))</f>
        <v/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1</v>
      </c>
      <c r="Y58" s="4" t="n">
        <v>0</v>
      </c>
      <c r="Z58" s="4" t="n">
        <v>0</v>
      </c>
      <c r="AA58" s="4" t="n">
        <v>0</v>
      </c>
      <c r="AB58" s="4" t="n">
        <v>1</v>
      </c>
      <c r="AC58" s="4" t="n">
        <v>0</v>
      </c>
      <c r="AD58" s="4" t="n">
        <v>0</v>
      </c>
      <c r="AE58" s="4" t="n">
        <v>0</v>
      </c>
      <c r="AF58" s="3" t="n">
        <v>0</v>
      </c>
      <c r="AG58" s="3" t="inlineStr"/>
    </row>
    <row r="59">
      <c r="A59" s="3" t="inlineStr">
        <is>
          <t>A058</t>
        </is>
      </c>
      <c r="B59" s="3" t="inlineStr">
        <is>
          <t>Analytics</t>
        </is>
      </c>
      <c r="C59" s="3" t="inlineStr">
        <is>
          <t>Theme 4</t>
        </is>
      </c>
      <c r="D59" s="3" t="inlineStr">
        <is>
          <t>Wu, Huang, Wang &amp; Kumar, 2024</t>
        </is>
      </c>
      <c r="E59" s="3" t="inlineStr">
        <is>
          <t xml:space="preserve">Manufacturing </t>
        </is>
      </c>
      <c r="F59" s="3" t="inlineStr">
        <is>
          <t xml:space="preserve">Data network effect </t>
        </is>
      </c>
      <c r="G59" s="3" t="inlineStr">
        <is>
          <t>Robustness</t>
        </is>
      </c>
      <c r="H59" s="3" t="inlineStr">
        <is>
          <t>Cross-sectional single-source survey</t>
        </is>
      </c>
      <c r="I59" s="3" t="n">
        <v>257</v>
      </c>
      <c r="J59" s="4" t="n">
        <v>0</v>
      </c>
      <c r="K59" s="4" t="n">
        <v>1</v>
      </c>
      <c r="L59" s="4" t="n">
        <v>0</v>
      </c>
      <c r="M59" s="4" t="n">
        <v>0</v>
      </c>
      <c r="N59" s="4" t="n">
        <v>0</v>
      </c>
      <c r="O59" s="3">
        <f>IF(COUNT(J59:N59)=0,"",SUM(J59:N59))</f>
        <v/>
      </c>
      <c r="P59" s="3">
        <f>IF(O59="","Not appraised",IF(O59&gt;=Summary!$C$4,"High",IF(O59&gt;=Summary!$C$5,"Moderate","Low")))</f>
        <v/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n">
        <v>0</v>
      </c>
      <c r="AC59" s="4" t="n">
        <v>0</v>
      </c>
      <c r="AD59" s="4" t="n">
        <v>0</v>
      </c>
      <c r="AE59" s="4" t="n">
        <v>0</v>
      </c>
      <c r="AF59" s="3" t="n">
        <v>0</v>
      </c>
      <c r="AG59" s="3" t="inlineStr"/>
    </row>
    <row r="60">
      <c r="A60" s="3" t="inlineStr">
        <is>
          <t>A059</t>
        </is>
      </c>
      <c r="B60" s="3" t="inlineStr">
        <is>
          <t>Analytics</t>
        </is>
      </c>
      <c r="C60" s="3" t="inlineStr">
        <is>
          <t>Theme 2</t>
        </is>
      </c>
      <c r="D60" s="3" t="inlineStr">
        <is>
          <t>Fosso Wamba &amp; Akter, 2019</t>
        </is>
      </c>
      <c r="E60" s="3" t="inlineStr">
        <is>
          <t xml:space="preserve">Multiple industries </t>
        </is>
      </c>
      <c r="F60" s="3" t="inlineStr">
        <is>
          <t>Resource-based view; dynamic capability theory</t>
        </is>
      </c>
      <c r="G60" s="3" t="inlineStr">
        <is>
          <t>Agility</t>
        </is>
      </c>
      <c r="H60" s="3" t="inlineStr">
        <is>
          <t>Cross-sectional single-source survey</t>
        </is>
      </c>
      <c r="I60" s="3" t="n">
        <v>281</v>
      </c>
      <c r="J60" s="4" t="n">
        <v>0</v>
      </c>
      <c r="K60" s="4" t="n">
        <v>1</v>
      </c>
      <c r="L60" s="4" t="n">
        <v>0</v>
      </c>
      <c r="M60" s="4" t="n">
        <v>0</v>
      </c>
      <c r="N60" s="4" t="n">
        <v>0</v>
      </c>
      <c r="O60" s="3">
        <f>IF(COUNT(J60:N60)=0,"",SUM(J60:N60))</f>
        <v/>
      </c>
      <c r="P60" s="3">
        <f>IF(O60="","Not appraised",IF(O60&gt;=Summary!$C$4,"High",IF(O60&gt;=Summary!$C$5,"Moderate","Low")))</f>
        <v/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1</v>
      </c>
      <c r="Y60" s="4" t="n">
        <v>0</v>
      </c>
      <c r="Z60" s="4" t="n">
        <v>0</v>
      </c>
      <c r="AA60" s="4" t="n">
        <v>0</v>
      </c>
      <c r="AB60" s="4" t="n">
        <v>1</v>
      </c>
      <c r="AC60" s="4" t="n">
        <v>0</v>
      </c>
      <c r="AD60" s="4" t="n">
        <v>0</v>
      </c>
      <c r="AE60" s="4" t="n">
        <v>0</v>
      </c>
      <c r="AF60" s="3" t="n">
        <v>0</v>
      </c>
      <c r="AG60" s="3" t="inlineStr"/>
    </row>
    <row r="61">
      <c r="A61" s="3" t="inlineStr">
        <is>
          <t>A060</t>
        </is>
      </c>
      <c r="B61" s="3" t="inlineStr">
        <is>
          <t>Analytics</t>
        </is>
      </c>
      <c r="C61" s="3" t="inlineStr">
        <is>
          <t>Theme 2</t>
        </is>
      </c>
      <c r="D61" s="3" t="inlineStr">
        <is>
          <t>Raut, Mangla, Narwane, Dora &amp; Liu, 2021</t>
        </is>
      </c>
      <c r="E61" s="3" t="inlineStr">
        <is>
          <t xml:space="preserve">Manufacturing </t>
        </is>
      </c>
      <c r="F61" s="3" t="inlineStr">
        <is>
          <t>LARG (Lean–Agile–Resilient–Green) supply chain paradigm</t>
        </is>
      </c>
      <c r="G61" s="3" t="inlineStr">
        <is>
          <t>Resilience</t>
        </is>
      </c>
      <c r="H61" s="3" t="inlineStr">
        <is>
          <t>Cross-sectional single-source survey</t>
        </is>
      </c>
      <c r="I61" s="3" t="n">
        <v>297</v>
      </c>
      <c r="J61" s="4" t="n">
        <v>0</v>
      </c>
      <c r="K61" s="4" t="n">
        <v>1</v>
      </c>
      <c r="L61" s="4" t="n">
        <v>1</v>
      </c>
      <c r="M61" s="4" t="n">
        <v>1</v>
      </c>
      <c r="N61" s="4" t="n">
        <v>1</v>
      </c>
      <c r="O61" s="3">
        <f>IF(COUNT(J61:N61)=0,"",SUM(J61:N61))</f>
        <v/>
      </c>
      <c r="P61" s="3">
        <f>IF(O61="","Not appraised",IF(O61&gt;=Summary!$C$4,"High",IF(O61&gt;=Summary!$C$5,"Moderate","Low")))</f>
        <v/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1</v>
      </c>
      <c r="Y61" s="4" t="n">
        <v>0</v>
      </c>
      <c r="Z61" s="4" t="n">
        <v>0</v>
      </c>
      <c r="AA61" s="4" t="n">
        <v>1</v>
      </c>
      <c r="AB61" s="4" t="n">
        <v>1</v>
      </c>
      <c r="AC61" s="4" t="n">
        <v>0</v>
      </c>
      <c r="AD61" s="4" t="n">
        <v>0</v>
      </c>
      <c r="AE61" s="4" t="n">
        <v>0</v>
      </c>
      <c r="AF61" s="3" t="n">
        <v>0</v>
      </c>
      <c r="AG61" s="3" t="inlineStr"/>
    </row>
    <row r="62">
      <c r="A62" s="3" t="inlineStr">
        <is>
          <t>A061</t>
        </is>
      </c>
      <c r="B62" s="3" t="inlineStr">
        <is>
          <t>Analytics</t>
        </is>
      </c>
      <c r="C62" s="3" t="inlineStr">
        <is>
          <t>Theme 1</t>
        </is>
      </c>
      <c r="D62" s="3" t="inlineStr">
        <is>
          <t>Baga, Rahman, Srivastava, Chan &amp; Bryde, 2022</t>
        </is>
      </c>
      <c r="E62" s="3" t="inlineStr">
        <is>
          <t xml:space="preserve">Mining </t>
        </is>
      </c>
      <c r="F62" s="3" t="inlineStr">
        <is>
          <t xml:space="preserve">Dynamic Capability View </t>
        </is>
      </c>
      <c r="G62" s="3" t="inlineStr">
        <is>
          <t>Transparency</t>
        </is>
      </c>
      <c r="H62" s="3" t="inlineStr">
        <is>
          <t>Mixed / multi-source</t>
        </is>
      </c>
      <c r="I62" s="3" t="n">
        <v>219</v>
      </c>
      <c r="J62" s="4" t="n">
        <v>1</v>
      </c>
      <c r="K62" s="4" t="n">
        <v>1</v>
      </c>
      <c r="L62" s="4" t="n">
        <v>0</v>
      </c>
      <c r="M62" s="4" t="n">
        <v>1</v>
      </c>
      <c r="N62" s="4" t="n">
        <v>0</v>
      </c>
      <c r="O62" s="3">
        <f>IF(COUNT(J62:N62)=0,"",SUM(J62:N62))</f>
        <v/>
      </c>
      <c r="P62" s="3">
        <f>IF(O62="","Not appraised",IF(O62&gt;=Summary!$C$4,"High",IF(O62&gt;=Summary!$C$5,"Moderate","Low")))</f>
        <v/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1</v>
      </c>
      <c r="X62" s="4" t="n">
        <v>1</v>
      </c>
      <c r="Y62" s="4" t="n">
        <v>1</v>
      </c>
      <c r="Z62" s="4" t="n">
        <v>0</v>
      </c>
      <c r="AA62" s="4" t="n">
        <v>0</v>
      </c>
      <c r="AB62" s="4" t="n">
        <v>0</v>
      </c>
      <c r="AC62" s="4" t="n">
        <v>0</v>
      </c>
      <c r="AD62" s="4" t="n">
        <v>0</v>
      </c>
      <c r="AE62" s="4" t="n">
        <v>0</v>
      </c>
      <c r="AF62" s="3" t="n">
        <v>0</v>
      </c>
      <c r="AG62" s="3" t="inlineStr"/>
    </row>
    <row r="63">
      <c r="A63" s="3" t="inlineStr">
        <is>
          <t>A062</t>
        </is>
      </c>
      <c r="B63" s="3" t="inlineStr">
        <is>
          <t>Analytics</t>
        </is>
      </c>
      <c r="C63" s="3" t="inlineStr">
        <is>
          <t>Theme 4</t>
        </is>
      </c>
      <c r="D63" s="3" t="inlineStr">
        <is>
          <t>Mandal, S. (2020)</t>
        </is>
      </c>
      <c r="E63" s="3" t="inlineStr">
        <is>
          <t xml:space="preserve">Supply chain professionals </t>
        </is>
      </c>
      <c r="F63" s="3" t="inlineStr">
        <is>
          <t xml:space="preserve">Dynamic capabilities perspective </t>
        </is>
      </c>
      <c r="G63" s="3" t="inlineStr">
        <is>
          <t>Resilience</t>
        </is>
      </c>
      <c r="H63" s="3" t="inlineStr">
        <is>
          <t>Cross-sectional single-source survey</t>
        </is>
      </c>
      <c r="I63" s="3" t="n">
        <v>176</v>
      </c>
      <c r="J63" s="4" t="n">
        <v>0</v>
      </c>
      <c r="K63" s="4" t="n">
        <v>1</v>
      </c>
      <c r="L63" s="4" t="n">
        <v>0</v>
      </c>
      <c r="M63" s="4" t="n">
        <v>0</v>
      </c>
      <c r="N63" s="4" t="n">
        <v>0</v>
      </c>
      <c r="O63" s="3">
        <f>IF(COUNT(J63:N63)=0,"",SUM(J63:N63))</f>
        <v/>
      </c>
      <c r="P63" s="3">
        <f>IF(O63="","Not appraised",IF(O63&gt;=Summary!$C$4,"High",IF(O63&gt;=Summary!$C$5,"Moderate","Low")))</f>
        <v/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1</v>
      </c>
      <c r="Y63" s="4" t="n">
        <v>0</v>
      </c>
      <c r="Z63" s="4" t="n">
        <v>0</v>
      </c>
      <c r="AA63" s="4" t="n">
        <v>0</v>
      </c>
      <c r="AB63" s="4" t="n">
        <v>0</v>
      </c>
      <c r="AC63" s="4" t="n">
        <v>0</v>
      </c>
      <c r="AD63" s="4" t="n">
        <v>0</v>
      </c>
      <c r="AE63" s="4" t="n">
        <v>0</v>
      </c>
      <c r="AF63" s="3" t="n">
        <v>0</v>
      </c>
      <c r="AG63" s="3" t="inlineStr">
        <is>
          <t>TBD in extraction sheet</t>
        </is>
      </c>
    </row>
    <row r="64">
      <c r="A64" s="3" t="inlineStr">
        <is>
          <t>A063</t>
        </is>
      </c>
      <c r="B64" s="3" t="inlineStr">
        <is>
          <t>Analytics</t>
        </is>
      </c>
      <c r="C64" s="3" t="inlineStr">
        <is>
          <t>Theme 2</t>
        </is>
      </c>
      <c r="D64" s="3" t="inlineStr">
        <is>
          <t>Shokoohyar, S.; Shokouhyar, S.; Hakimioun, S. (2022)</t>
        </is>
      </c>
      <c r="E64" s="3" t="inlineStr">
        <is>
          <t xml:space="preserve">Supply chain professionals </t>
        </is>
      </c>
      <c r="F64" s="3" t="inlineStr">
        <is>
          <t>Dynamic capabilities; complex adaptive systems perspective</t>
        </is>
      </c>
      <c r="G64" s="3" t="inlineStr">
        <is>
          <t>Adaptability</t>
        </is>
      </c>
      <c r="H64" s="3" t="inlineStr">
        <is>
          <t>Cross-sectional single-source survey</t>
        </is>
      </c>
      <c r="I64" s="3" t="n"/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3">
        <f>IF(COUNT(J64:N64)=0,"",SUM(J64:N64))</f>
        <v/>
      </c>
      <c r="P64" s="3">
        <f>IF(O64="","Not appraised",IF(O64&gt;=Summary!$C$4,"High",IF(O64&gt;=Summary!$C$5,"Moderate","Low")))</f>
        <v/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1</v>
      </c>
      <c r="Y64" s="4" t="n">
        <v>0</v>
      </c>
      <c r="Z64" s="4" t="n">
        <v>0</v>
      </c>
      <c r="AA64" s="4" t="n">
        <v>1</v>
      </c>
      <c r="AB64" s="4" t="n">
        <v>1</v>
      </c>
      <c r="AC64" s="4" t="n">
        <v>0</v>
      </c>
      <c r="AD64" s="4" t="n">
        <v>0</v>
      </c>
      <c r="AE64" s="4" t="n">
        <v>0</v>
      </c>
      <c r="AF64" s="3" t="n">
        <v>0</v>
      </c>
      <c r="AG64" s="3" t="inlineStr">
        <is>
          <t>sample size not in extraction sheet (Q2 scored 0); TBD in extraction sheet</t>
        </is>
      </c>
    </row>
    <row r="65">
      <c r="A65" s="3" t="inlineStr">
        <is>
          <t>A064</t>
        </is>
      </c>
      <c r="B65" s="3" t="inlineStr">
        <is>
          <t>Analytics</t>
        </is>
      </c>
      <c r="C65" s="3" t="inlineStr">
        <is>
          <t>Theme 4</t>
        </is>
      </c>
      <c r="D65" s="3" t="inlineStr">
        <is>
          <t>Alsmairat, M.A.K. (2023)</t>
        </is>
      </c>
      <c r="E65" s="3" t="inlineStr">
        <is>
          <t xml:space="preserve">Supply chain professionals </t>
        </is>
      </c>
      <c r="F65" s="3" t="inlineStr">
        <is>
          <t>Not stated</t>
        </is>
      </c>
      <c r="G65" s="3" t="inlineStr">
        <is>
          <t>Readiness</t>
        </is>
      </c>
      <c r="H65" s="3" t="inlineStr">
        <is>
          <t>Cross-sectional single-source survey</t>
        </is>
      </c>
      <c r="I65" s="3" t="n">
        <v>340</v>
      </c>
      <c r="J65" s="4" t="n">
        <v>0</v>
      </c>
      <c r="K65" s="4" t="n">
        <v>1</v>
      </c>
      <c r="L65" s="4" t="n">
        <v>0</v>
      </c>
      <c r="M65" s="4" t="n">
        <v>0</v>
      </c>
      <c r="N65" s="4" t="n">
        <v>0</v>
      </c>
      <c r="O65" s="3">
        <f>IF(COUNT(J65:N65)=0,"",SUM(J65:N65))</f>
        <v/>
      </c>
      <c r="P65" s="3">
        <f>IF(O65="","Not appraised",IF(O65&gt;=Summary!$C$4,"High",IF(O65&gt;=Summary!$C$5,"Moderate","Low")))</f>
        <v/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1</v>
      </c>
      <c r="Y65" s="4" t="n">
        <v>0</v>
      </c>
      <c r="Z65" s="4" t="n">
        <v>0</v>
      </c>
      <c r="AA65" s="4" t="n">
        <v>0</v>
      </c>
      <c r="AB65" s="4" t="n">
        <v>0</v>
      </c>
      <c r="AC65" s="4" t="n">
        <v>0</v>
      </c>
      <c r="AD65" s="4" t="n">
        <v>1</v>
      </c>
      <c r="AE65" s="4" t="n">
        <v>0</v>
      </c>
      <c r="AF65" s="3" t="n">
        <v>0</v>
      </c>
      <c r="AG65" s="3" t="inlineStr">
        <is>
          <t>TBD in extraction sheet</t>
        </is>
      </c>
    </row>
    <row r="66">
      <c r="A66" s="3" t="inlineStr">
        <is>
          <t>A065</t>
        </is>
      </c>
      <c r="B66" s="3" t="inlineStr">
        <is>
          <t>Analytics</t>
        </is>
      </c>
      <c r="C66" s="3" t="inlineStr">
        <is>
          <t>Theme 2</t>
        </is>
      </c>
      <c r="D66" s="3" t="inlineStr">
        <is>
          <t>Aljumah, 2022</t>
        </is>
      </c>
      <c r="E66" s="3" t="inlineStr">
        <is>
          <t>Retail</t>
        </is>
      </c>
      <c r="F66" s="3" t="inlineStr">
        <is>
          <t>Institutional theory</t>
        </is>
      </c>
      <c r="G66" s="3" t="inlineStr">
        <is>
          <t>Agility</t>
        </is>
      </c>
      <c r="H66" s="3" t="inlineStr">
        <is>
          <t>Cross-sectional single-source survey</t>
        </is>
      </c>
      <c r="I66" s="3" t="n">
        <v>283</v>
      </c>
      <c r="J66" s="4" t="n">
        <v>0</v>
      </c>
      <c r="K66" s="4" t="n">
        <v>1</v>
      </c>
      <c r="L66" s="4" t="n">
        <v>0</v>
      </c>
      <c r="M66" s="4" t="n">
        <v>0</v>
      </c>
      <c r="N66" s="4" t="n">
        <v>0</v>
      </c>
      <c r="O66" s="3">
        <f>IF(COUNT(J66:N66)=0,"",SUM(J66:N66))</f>
        <v/>
      </c>
      <c r="P66" s="3">
        <f>IF(O66="","Not appraised",IF(O66&gt;=Summary!$C$4,"High",IF(O66&gt;=Summary!$C$5,"Moderate","Low")))</f>
        <v/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1</v>
      </c>
      <c r="Y66" s="4" t="n">
        <v>0</v>
      </c>
      <c r="Z66" s="4" t="n">
        <v>0</v>
      </c>
      <c r="AA66" s="4" t="n">
        <v>0</v>
      </c>
      <c r="AB66" s="4" t="n">
        <v>1</v>
      </c>
      <c r="AC66" s="4" t="n">
        <v>0</v>
      </c>
      <c r="AD66" s="4" t="n">
        <v>0</v>
      </c>
      <c r="AE66" s="4" t="n">
        <v>0</v>
      </c>
      <c r="AF66" s="3" t="n">
        <v>0</v>
      </c>
      <c r="AG66" s="3" t="inlineStr"/>
    </row>
    <row r="67">
      <c r="A67" s="3" t="inlineStr">
        <is>
          <t>A066</t>
        </is>
      </c>
      <c r="B67" s="3" t="inlineStr">
        <is>
          <t>Analytics</t>
        </is>
      </c>
      <c r="C67" s="3" t="inlineStr">
        <is>
          <t>Theme 4</t>
        </is>
      </c>
      <c r="D67" s="3" t="inlineStr">
        <is>
          <t>Abdullah, Naeem &amp; Aslam, 2024</t>
        </is>
      </c>
      <c r="E67" s="3" t="inlineStr">
        <is>
          <t>Manufacturing</t>
        </is>
      </c>
      <c r="F67" s="3" t="inlineStr">
        <is>
          <t xml:space="preserve">Organizational Information Processing Theory </t>
        </is>
      </c>
      <c r="G67" s="3" t="inlineStr">
        <is>
          <t>Adaptability</t>
        </is>
      </c>
      <c r="H67" s="3" t="inlineStr">
        <is>
          <t>Multi-wave / multi-respondent survey</t>
        </is>
      </c>
      <c r="I67" s="3" t="n"/>
      <c r="J67" s="4" t="n">
        <v>1</v>
      </c>
      <c r="K67" s="4" t="n">
        <v>0</v>
      </c>
      <c r="L67" s="4" t="n">
        <v>0</v>
      </c>
      <c r="M67" s="4" t="n">
        <v>1</v>
      </c>
      <c r="N67" s="4" t="n">
        <v>0</v>
      </c>
      <c r="O67" s="3">
        <f>IF(COUNT(J67:N67)=0,"",SUM(J67:N67))</f>
        <v/>
      </c>
      <c r="P67" s="3">
        <f>IF(O67="","Not appraised",IF(O67&gt;=Summary!$C$4,"High",IF(O67&gt;=Summary!$C$5,"Moderate","Low")))</f>
        <v/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1</v>
      </c>
      <c r="Y67" s="4" t="n">
        <v>0</v>
      </c>
      <c r="Z67" s="4" t="n">
        <v>0</v>
      </c>
      <c r="AA67" s="4" t="n">
        <v>0</v>
      </c>
      <c r="AB67" s="4" t="n">
        <v>1</v>
      </c>
      <c r="AC67" s="4" t="n">
        <v>0</v>
      </c>
      <c r="AD67" s="4" t="n">
        <v>0</v>
      </c>
      <c r="AE67" s="4" t="n">
        <v>1</v>
      </c>
      <c r="AF67" s="3" t="n">
        <v>1</v>
      </c>
      <c r="AG67" s="3" t="inlineStr">
        <is>
          <t>sample size not in extraction sheet (Q2 scored 0)</t>
        </is>
      </c>
    </row>
    <row r="68">
      <c r="A68" s="3" t="inlineStr">
        <is>
          <t>A067</t>
        </is>
      </c>
      <c r="B68" s="3" t="inlineStr">
        <is>
          <t>Analytics</t>
        </is>
      </c>
      <c r="C68" s="3" t="inlineStr">
        <is>
          <t>Theme 2</t>
        </is>
      </c>
      <c r="D68" s="3" t="inlineStr">
        <is>
          <t>Wang, Qian &amp; Fang, 2024</t>
        </is>
      </c>
      <c r="E68" s="3" t="inlineStr">
        <is>
          <t xml:space="preserve">Multi-industry </t>
        </is>
      </c>
      <c r="F68" s="3" t="inlineStr">
        <is>
          <t xml:space="preserve">Dynamic capability view; Resource-based view </t>
        </is>
      </c>
      <c r="G68" s="3" t="inlineStr">
        <is>
          <t>Agility</t>
        </is>
      </c>
      <c r="H68" s="3" t="inlineStr">
        <is>
          <t>Cross-sectional single-source survey</t>
        </is>
      </c>
      <c r="I68" s="3" t="n">
        <v>114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1</v>
      </c>
      <c r="O68" s="3">
        <f>IF(COUNT(J68:N68)=0,"",SUM(J68:N68))</f>
        <v/>
      </c>
      <c r="P68" s="3">
        <f>IF(O68="","Not appraised",IF(O68&gt;=Summary!$C$4,"High",IF(O68&gt;=Summary!$C$5,"Moderate","Low")))</f>
        <v/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1</v>
      </c>
      <c r="Y68" s="4" t="n">
        <v>0</v>
      </c>
      <c r="Z68" s="4" t="n">
        <v>0</v>
      </c>
      <c r="AA68" s="4" t="n">
        <v>0</v>
      </c>
      <c r="AB68" s="4" t="n">
        <v>1</v>
      </c>
      <c r="AC68" s="4" t="n">
        <v>0</v>
      </c>
      <c r="AD68" s="4" t="n">
        <v>0</v>
      </c>
      <c r="AE68" s="4" t="n">
        <v>0</v>
      </c>
      <c r="AF68" s="3" t="n">
        <v>0</v>
      </c>
      <c r="AG68" s="3" t="inlineStr"/>
    </row>
    <row r="69">
      <c r="A69" s="3" t="inlineStr">
        <is>
          <t>A068</t>
        </is>
      </c>
      <c r="B69" s="3" t="inlineStr">
        <is>
          <t>Analytics</t>
        </is>
      </c>
      <c r="C69" s="3" t="inlineStr">
        <is>
          <t>Theme 4</t>
        </is>
      </c>
      <c r="D69" s="3" t="inlineStr">
        <is>
          <t>Iftikhar, Do, Stevenson &amp; Aslam, 2025</t>
        </is>
      </c>
      <c r="E69" s="3" t="inlineStr">
        <is>
          <t>Manufacturing, service sectors (mixed)</t>
        </is>
      </c>
      <c r="F69" s="3" t="inlineStr">
        <is>
          <t>Dynamic capability theory</t>
        </is>
      </c>
      <c r="G69" s="3" t="inlineStr">
        <is>
          <t>Resilience</t>
        </is>
      </c>
      <c r="H69" s="3" t="inlineStr">
        <is>
          <t>Cross-sectional single-source survey</t>
        </is>
      </c>
      <c r="I69" s="3" t="n">
        <v>188</v>
      </c>
      <c r="J69" s="4" t="n">
        <v>0</v>
      </c>
      <c r="K69" s="4" t="n">
        <v>1</v>
      </c>
      <c r="L69" s="4" t="n">
        <v>0</v>
      </c>
      <c r="M69" s="4" t="n">
        <v>0</v>
      </c>
      <c r="N69" s="4" t="n">
        <v>0</v>
      </c>
      <c r="O69" s="3">
        <f>IF(COUNT(J69:N69)=0,"",SUM(J69:N69))</f>
        <v/>
      </c>
      <c r="P69" s="3">
        <f>IF(O69="","Not appraised",IF(O69&gt;=Summary!$C$4,"High",IF(O69&gt;=Summary!$C$5,"Moderate","Low")))</f>
        <v/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1</v>
      </c>
      <c r="Y69" s="4" t="n">
        <v>0</v>
      </c>
      <c r="Z69" s="4" t="n">
        <v>0</v>
      </c>
      <c r="AA69" s="4" t="n">
        <v>0</v>
      </c>
      <c r="AB69" s="4" t="n">
        <v>0</v>
      </c>
      <c r="AC69" s="4" t="n">
        <v>0</v>
      </c>
      <c r="AD69" s="4" t="n">
        <v>0</v>
      </c>
      <c r="AE69" s="4" t="n">
        <v>1</v>
      </c>
      <c r="AF69" s="3" t="n">
        <v>0</v>
      </c>
      <c r="AG69" s="3" t="inlineStr"/>
    </row>
    <row r="70">
      <c r="A70" s="3" t="inlineStr">
        <is>
          <t>A069</t>
        </is>
      </c>
      <c r="B70" s="3" t="inlineStr">
        <is>
          <t>Analytics</t>
        </is>
      </c>
      <c r="C70" s="3" t="inlineStr">
        <is>
          <t>Theme 3</t>
        </is>
      </c>
      <c r="D70" s="3" t="inlineStr">
        <is>
          <t>Dubey et al., 2019</t>
        </is>
      </c>
      <c r="E70" s="3" t="inlineStr">
        <is>
          <t xml:space="preserve">Humanitarian supply chain </t>
        </is>
      </c>
      <c r="F70" s="3" t="inlineStr">
        <is>
          <t>Organizational Information Processing Theory; Competing Values Model (CVM)</t>
        </is>
      </c>
      <c r="G70" s="3" t="inlineStr">
        <is>
          <t>Trust</t>
        </is>
      </c>
      <c r="H70" s="3" t="inlineStr">
        <is>
          <t>Multi-wave / multi-respondent survey</t>
        </is>
      </c>
      <c r="I70" s="3" t="n">
        <v>373</v>
      </c>
      <c r="J70" s="4" t="n">
        <v>1</v>
      </c>
      <c r="K70" s="4" t="n">
        <v>1</v>
      </c>
      <c r="L70" s="4" t="n">
        <v>1</v>
      </c>
      <c r="M70" s="4" t="n">
        <v>1</v>
      </c>
      <c r="N70" s="4" t="n">
        <v>1</v>
      </c>
      <c r="O70" s="3">
        <f>IF(COUNT(J70:N70)=0,"",SUM(J70:N70))</f>
        <v/>
      </c>
      <c r="P70" s="3">
        <f>IF(O70="","Not appraised",IF(O70&gt;=Summary!$C$4,"High",IF(O70&gt;=Summary!$C$5,"Moderate","Low")))</f>
        <v/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1</v>
      </c>
      <c r="V70" s="4" t="n">
        <v>0</v>
      </c>
      <c r="W70" s="4" t="n">
        <v>1</v>
      </c>
      <c r="X70" s="4" t="n">
        <v>1</v>
      </c>
      <c r="Y70" s="4" t="n">
        <v>0</v>
      </c>
      <c r="Z70" s="4" t="n">
        <v>0</v>
      </c>
      <c r="AA70" s="4" t="n">
        <v>1</v>
      </c>
      <c r="AB70" s="4" t="n">
        <v>1</v>
      </c>
      <c r="AC70" s="4" t="n">
        <v>0</v>
      </c>
      <c r="AD70" s="4" t="n">
        <v>0</v>
      </c>
      <c r="AE70" s="4" t="n">
        <v>0</v>
      </c>
      <c r="AF70" s="3" t="n">
        <v>0</v>
      </c>
      <c r="AG70" s="3" t="inlineStr"/>
    </row>
    <row r="71">
      <c r="A71" s="3" t="inlineStr">
        <is>
          <t>A070</t>
        </is>
      </c>
      <c r="B71" s="3" t="inlineStr">
        <is>
          <t>Analytics</t>
        </is>
      </c>
      <c r="C71" s="3" t="inlineStr">
        <is>
          <t>Theme 4</t>
        </is>
      </c>
      <c r="D71" s="3" t="inlineStr">
        <is>
          <t>Saleh &amp; Sadeghi, 2025</t>
        </is>
      </c>
      <c r="E71" s="3" t="inlineStr">
        <is>
          <t>SMEs (cross-industry)</t>
        </is>
      </c>
      <c r="F71" s="3" t="inlineStr">
        <is>
          <t>Dynamic capabilities view</t>
        </is>
      </c>
      <c r="G71" s="3" t="inlineStr">
        <is>
          <t>Recovery</t>
        </is>
      </c>
      <c r="H71" s="3" t="inlineStr">
        <is>
          <t>Cross-sectional single-source survey</t>
        </is>
      </c>
      <c r="I71" s="3" t="n">
        <v>153</v>
      </c>
      <c r="J71" s="4" t="n">
        <v>0</v>
      </c>
      <c r="K71" s="4" t="n">
        <v>1</v>
      </c>
      <c r="L71" s="4" t="n">
        <v>0</v>
      </c>
      <c r="M71" s="4" t="n">
        <v>0</v>
      </c>
      <c r="N71" s="4" t="n">
        <v>0</v>
      </c>
      <c r="O71" s="3">
        <f>IF(COUNT(J71:N71)=0,"",SUM(J71:N71))</f>
        <v/>
      </c>
      <c r="P71" s="3">
        <f>IF(O71="","Not appraised",IF(O71&gt;=Summary!$C$4,"High",IF(O71&gt;=Summary!$C$5,"Moderate","Low")))</f>
        <v/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1</v>
      </c>
      <c r="W71" s="4" t="n">
        <v>0</v>
      </c>
      <c r="X71" s="4" t="n">
        <v>1</v>
      </c>
      <c r="Y71" s="4" t="n">
        <v>0</v>
      </c>
      <c r="Z71" s="4" t="n">
        <v>0</v>
      </c>
      <c r="AA71" s="4" t="n">
        <v>0</v>
      </c>
      <c r="AB71" s="4" t="n">
        <v>0</v>
      </c>
      <c r="AC71" s="4" t="n">
        <v>1</v>
      </c>
      <c r="AD71" s="4" t="n">
        <v>0</v>
      </c>
      <c r="AE71" s="4" t="n">
        <v>0</v>
      </c>
      <c r="AF71" s="3" t="n">
        <v>0</v>
      </c>
      <c r="AG71" s="3" t="inlineStr"/>
    </row>
    <row r="72">
      <c r="A72" s="3" t="inlineStr">
        <is>
          <t>A071</t>
        </is>
      </c>
      <c r="B72" s="3" t="inlineStr">
        <is>
          <t>Analytics</t>
        </is>
      </c>
      <c r="C72" s="3" t="inlineStr">
        <is>
          <t>Theme 4</t>
        </is>
      </c>
      <c r="D72" s="3" t="inlineStr">
        <is>
          <t>Liu &amp; Wei, 2022</t>
        </is>
      </c>
      <c r="E72" s="3" t="inlineStr">
        <is>
          <t xml:space="preserve">Manufacturing </t>
        </is>
      </c>
      <c r="F72" s="3" t="inlineStr">
        <is>
          <t>Information processing perspective</t>
        </is>
      </c>
      <c r="G72" s="3" t="inlineStr">
        <is>
          <t>Recovery</t>
        </is>
      </c>
      <c r="H72" s="3" t="inlineStr">
        <is>
          <t>Mixed / multi-source</t>
        </is>
      </c>
      <c r="I72" s="3" t="n">
        <v>170</v>
      </c>
      <c r="J72" s="4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3">
        <f>IF(COUNT(J72:N72)=0,"",SUM(J72:N72))</f>
        <v/>
      </c>
      <c r="P72" s="3">
        <f>IF(O72="","Not appraised",IF(O72&gt;=Summary!$C$4,"High",IF(O72&gt;=Summary!$C$5,"Moderate","Low")))</f>
        <v/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1</v>
      </c>
      <c r="Y72" s="4" t="n">
        <v>0</v>
      </c>
      <c r="Z72" s="4" t="n">
        <v>0</v>
      </c>
      <c r="AA72" s="4" t="n">
        <v>0</v>
      </c>
      <c r="AB72" s="4" t="n">
        <v>0</v>
      </c>
      <c r="AC72" s="4" t="n">
        <v>1</v>
      </c>
      <c r="AD72" s="4" t="n">
        <v>0</v>
      </c>
      <c r="AE72" s="4" t="n">
        <v>0</v>
      </c>
      <c r="AF72" s="3" t="n">
        <v>0</v>
      </c>
      <c r="AG72" s="3" t="inlineStr"/>
    </row>
    <row r="73">
      <c r="A73" s="3" t="inlineStr">
        <is>
          <t>A072</t>
        </is>
      </c>
      <c r="B73" s="3" t="inlineStr">
        <is>
          <t>Analytics</t>
        </is>
      </c>
      <c r="C73" s="3" t="inlineStr">
        <is>
          <t>Theme 3</t>
        </is>
      </c>
      <c r="D73" s="3" t="inlineStr">
        <is>
          <t>Lu, Jiang &amp; Wang, 2024</t>
        </is>
      </c>
      <c r="E73" s="3" t="inlineStr">
        <is>
          <t>Manufacturing</t>
        </is>
      </c>
      <c r="F73" s="3" t="inlineStr">
        <is>
          <t>Information processing theory</t>
        </is>
      </c>
      <c r="G73" s="3" t="inlineStr">
        <is>
          <t>Visibility</t>
        </is>
      </c>
      <c r="H73" s="3" t="inlineStr">
        <is>
          <t>Cross-sectional single-source survey</t>
        </is>
      </c>
      <c r="I73" s="3" t="n">
        <v>288</v>
      </c>
      <c r="J73" s="4" t="n">
        <v>0</v>
      </c>
      <c r="K73" s="4" t="n">
        <v>1</v>
      </c>
      <c r="L73" s="4" t="n">
        <v>0</v>
      </c>
      <c r="M73" s="4" t="n">
        <v>0</v>
      </c>
      <c r="N73" s="4" t="n">
        <v>1</v>
      </c>
      <c r="O73" s="3">
        <f>IF(COUNT(J73:N73)=0,"",SUM(J73:N73))</f>
        <v/>
      </c>
      <c r="P73" s="3">
        <f>IF(O73="","Not appraised",IF(O73&gt;=Summary!$C$4,"High",IF(O73&gt;=Summary!$C$5,"Moderate","Low")))</f>
        <v/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3" t="n">
        <v>0</v>
      </c>
      <c r="AG73" s="3" t="inlineStr"/>
    </row>
    <row r="74">
      <c r="A74" s="3" t="inlineStr">
        <is>
          <t>A073</t>
        </is>
      </c>
      <c r="B74" s="3" t="inlineStr">
        <is>
          <t>Analytics</t>
        </is>
      </c>
      <c r="C74" s="3" t="inlineStr">
        <is>
          <t>Theme 2</t>
        </is>
      </c>
      <c r="D74" s="3" t="inlineStr">
        <is>
          <t>Munir, Jajja &amp; Chatha, 2022</t>
        </is>
      </c>
      <c r="E74" s="3" t="inlineStr">
        <is>
          <t>Manufacturing</t>
        </is>
      </c>
      <c r="F74" s="3" t="inlineStr">
        <is>
          <t>Dynamic capabilities (capability-based view)</t>
        </is>
      </c>
      <c r="G74" s="3" t="inlineStr">
        <is>
          <t xml:space="preserve"> Responsiveness</t>
        </is>
      </c>
      <c r="H74" s="3" t="inlineStr">
        <is>
          <t>Cross-sectional single-source survey</t>
        </is>
      </c>
      <c r="I74" s="3" t="n">
        <v>206</v>
      </c>
      <c r="J74" s="4" t="n">
        <v>0</v>
      </c>
      <c r="K74" s="4" t="n">
        <v>1</v>
      </c>
      <c r="L74" s="4" t="n">
        <v>0</v>
      </c>
      <c r="M74" s="4" t="n">
        <v>0</v>
      </c>
      <c r="N74" s="4" t="n">
        <v>0</v>
      </c>
      <c r="O74" s="3">
        <f>IF(COUNT(J74:N74)=0,"",SUM(J74:N74))</f>
        <v/>
      </c>
      <c r="P74" s="3">
        <f>IF(O74="","Not appraised",IF(O74&gt;=Summary!$C$4,"High",IF(O74&gt;=Summary!$C$5,"Moderate","Low")))</f>
        <v/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1</v>
      </c>
      <c r="W74" s="4" t="n">
        <v>0</v>
      </c>
      <c r="X74" s="4" t="n">
        <v>1</v>
      </c>
      <c r="Y74" s="4" t="n">
        <v>0</v>
      </c>
      <c r="Z74" s="4" t="n">
        <v>0</v>
      </c>
      <c r="AA74" s="4" t="n">
        <v>0</v>
      </c>
      <c r="AB74" s="4" t="n">
        <v>1</v>
      </c>
      <c r="AC74" s="4" t="n">
        <v>0</v>
      </c>
      <c r="AD74" s="4" t="n">
        <v>0</v>
      </c>
      <c r="AE74" s="4" t="n">
        <v>0</v>
      </c>
      <c r="AF74" s="3" t="n">
        <v>0</v>
      </c>
      <c r="AG74" s="3" t="inlineStr"/>
    </row>
    <row r="75">
      <c r="A75" s="3" t="inlineStr">
        <is>
          <t>A074</t>
        </is>
      </c>
      <c r="B75" s="3" t="inlineStr">
        <is>
          <t>Analytics</t>
        </is>
      </c>
      <c r="C75" s="3" t="inlineStr">
        <is>
          <t>Theme 2</t>
        </is>
      </c>
      <c r="D75" s="3" t="inlineStr">
        <is>
          <t>Guo, Lin &amp; Luo, 2025</t>
        </is>
      </c>
      <c r="E75" s="3" t="inlineStr">
        <is>
          <t xml:space="preserve">Multi-industry </t>
        </is>
      </c>
      <c r="F75" s="3" t="inlineStr">
        <is>
          <t>Organizational capabilities-based theory</t>
        </is>
      </c>
      <c r="G75" s="3" t="inlineStr">
        <is>
          <t>Flexibility</t>
        </is>
      </c>
      <c r="H75" s="3" t="inlineStr">
        <is>
          <t>Cross-sectional single-source survey</t>
        </is>
      </c>
      <c r="I75" s="3" t="n">
        <v>239</v>
      </c>
      <c r="J75" s="4" t="n">
        <v>0</v>
      </c>
      <c r="K75" s="4" t="n">
        <v>1</v>
      </c>
      <c r="L75" s="4" t="n">
        <v>0</v>
      </c>
      <c r="M75" s="4" t="n">
        <v>0</v>
      </c>
      <c r="N75" s="4" t="n">
        <v>1</v>
      </c>
      <c r="O75" s="3">
        <f>IF(COUNT(J75:N75)=0,"",SUM(J75:N75))</f>
        <v/>
      </c>
      <c r="P75" s="3">
        <f>IF(O75="","Not appraised",IF(O75&gt;=Summary!$C$4,"High",IF(O75&gt;=Summary!$C$5,"Moderate","Low")))</f>
        <v/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1</v>
      </c>
      <c r="Y75" s="4" t="n">
        <v>0</v>
      </c>
      <c r="Z75" s="4" t="n">
        <v>0</v>
      </c>
      <c r="AA75" s="4" t="n">
        <v>1</v>
      </c>
      <c r="AB75" s="4" t="n">
        <v>1</v>
      </c>
      <c r="AC75" s="4" t="n">
        <v>1</v>
      </c>
      <c r="AD75" s="4" t="n">
        <v>0</v>
      </c>
      <c r="AE75" s="4" t="n">
        <v>0</v>
      </c>
      <c r="AF75" s="3" t="n">
        <v>0</v>
      </c>
      <c r="AG75" s="3" t="inlineStr"/>
    </row>
    <row r="76">
      <c r="A76" s="3" t="inlineStr">
        <is>
          <t>A075</t>
        </is>
      </c>
      <c r="B76" s="3" t="inlineStr">
        <is>
          <t>Analytics</t>
        </is>
      </c>
      <c r="C76" s="3" t="inlineStr">
        <is>
          <t>Theme 2</t>
        </is>
      </c>
      <c r="D76" s="3" t="inlineStr">
        <is>
          <t>Mandal, 2019</t>
        </is>
      </c>
      <c r="E76" s="3" t="inlineStr">
        <is>
          <t xml:space="preserve">Multiple sectors </t>
        </is>
      </c>
      <c r="F76" s="3" t="inlineStr">
        <is>
          <t>Resource-based view</t>
        </is>
      </c>
      <c r="G76" s="3" t="inlineStr">
        <is>
          <t>Agility</t>
        </is>
      </c>
      <c r="H76" s="3" t="inlineStr">
        <is>
          <t>Cross-sectional single-source survey</t>
        </is>
      </c>
      <c r="I76" s="3" t="n">
        <v>249</v>
      </c>
      <c r="J76" s="4" t="n">
        <v>0</v>
      </c>
      <c r="K76" s="4" t="n">
        <v>1</v>
      </c>
      <c r="L76" s="4" t="n">
        <v>0</v>
      </c>
      <c r="M76" s="4" t="n">
        <v>0</v>
      </c>
      <c r="N76" s="4" t="n">
        <v>0</v>
      </c>
      <c r="O76" s="3">
        <f>IF(COUNT(J76:N76)=0,"",SUM(J76:N76))</f>
        <v/>
      </c>
      <c r="P76" s="3">
        <f>IF(O76="","Not appraised",IF(O76&gt;=Summary!$C$4,"High",IF(O76&gt;=Summary!$C$5,"Moderate","Low")))</f>
        <v/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1</v>
      </c>
      <c r="Y76" s="4" t="n">
        <v>0</v>
      </c>
      <c r="Z76" s="4" t="n">
        <v>1</v>
      </c>
      <c r="AA76" s="4" t="n">
        <v>1</v>
      </c>
      <c r="AB76" s="4" t="n">
        <v>1</v>
      </c>
      <c r="AC76" s="4" t="n">
        <v>0</v>
      </c>
      <c r="AD76" s="4" t="n">
        <v>1</v>
      </c>
      <c r="AE76" s="4" t="n">
        <v>0</v>
      </c>
      <c r="AF76" s="3" t="n">
        <v>1</v>
      </c>
      <c r="AG76" s="3" t="inlineStr"/>
    </row>
    <row r="77">
      <c r="A77" s="3" t="inlineStr">
        <is>
          <t>A076</t>
        </is>
      </c>
      <c r="B77" s="3" t="inlineStr">
        <is>
          <t>Analytics</t>
        </is>
      </c>
      <c r="C77" s="3" t="inlineStr">
        <is>
          <t>Theme 2</t>
        </is>
      </c>
      <c r="D77" s="3" t="inlineStr">
        <is>
          <t>Dubey, Gunasekaran &amp; Childe, 2019</t>
        </is>
      </c>
      <c r="E77" s="3" t="inlineStr">
        <is>
          <t>Automotive</t>
        </is>
      </c>
      <c r="F77" s="3" t="inlineStr">
        <is>
          <t>Dynamic capabilities view; Contingency theory</t>
        </is>
      </c>
      <c r="G77" s="3" t="inlineStr">
        <is>
          <t>Agility</t>
        </is>
      </c>
      <c r="H77" s="3" t="inlineStr">
        <is>
          <t>Cross-sectional single-source survey</t>
        </is>
      </c>
      <c r="I77" s="3" t="n">
        <v>173</v>
      </c>
      <c r="J77" s="4" t="n">
        <v>0</v>
      </c>
      <c r="K77" s="4" t="n">
        <v>1</v>
      </c>
      <c r="L77" s="4" t="n">
        <v>0</v>
      </c>
      <c r="M77" s="4" t="n">
        <v>0</v>
      </c>
      <c r="N77" s="4" t="n">
        <v>0</v>
      </c>
      <c r="O77" s="3">
        <f>IF(COUNT(J77:N77)=0,"",SUM(J77:N77))</f>
        <v/>
      </c>
      <c r="P77" s="3">
        <f>IF(O77="","Not appraised",IF(O77&gt;=Summary!$C$4,"High",IF(O77&gt;=Summary!$C$5,"Moderate","Low")))</f>
        <v/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1</v>
      </c>
      <c r="Y77" s="4" t="n">
        <v>0</v>
      </c>
      <c r="Z77" s="4" t="n">
        <v>0</v>
      </c>
      <c r="AA77" s="4" t="n">
        <v>0</v>
      </c>
      <c r="AB77" s="4" t="n">
        <v>1</v>
      </c>
      <c r="AC77" s="4" t="n">
        <v>0</v>
      </c>
      <c r="AD77" s="4" t="n">
        <v>0</v>
      </c>
      <c r="AE77" s="4" t="n">
        <v>0</v>
      </c>
      <c r="AF77" s="3" t="n">
        <v>1</v>
      </c>
      <c r="AG77" s="3" t="inlineStr"/>
    </row>
    <row r="78">
      <c r="A78" s="3" t="inlineStr">
        <is>
          <t>A077</t>
        </is>
      </c>
      <c r="B78" s="3" t="inlineStr">
        <is>
          <t>Analytics</t>
        </is>
      </c>
      <c r="C78" s="3" t="inlineStr">
        <is>
          <t>Theme 2</t>
        </is>
      </c>
      <c r="D78" s="3" t="inlineStr">
        <is>
          <t>Surajit Bag, 2021</t>
        </is>
      </c>
      <c r="E78" s="3" t="inlineStr">
        <is>
          <t>Health care</t>
        </is>
      </c>
      <c r="F78" s="3" t="inlineStr">
        <is>
          <t>Organization Information Processing Theory</t>
        </is>
      </c>
      <c r="G78" s="3" t="inlineStr">
        <is>
          <t xml:space="preserve"> Responsiveness</t>
        </is>
      </c>
      <c r="H78" s="3" t="inlineStr">
        <is>
          <t>Cross-sectional single-source survey</t>
        </is>
      </c>
      <c r="I78" s="3" t="n">
        <v>190</v>
      </c>
      <c r="J78" s="4" t="n">
        <v>0</v>
      </c>
      <c r="K78" s="4" t="n">
        <v>1</v>
      </c>
      <c r="L78" s="4" t="n">
        <v>0</v>
      </c>
      <c r="M78" s="4" t="n">
        <v>0</v>
      </c>
      <c r="N78" s="4" t="n">
        <v>0</v>
      </c>
      <c r="O78" s="3">
        <f>IF(COUNT(J78:N78)=0,"",SUM(J78:N78))</f>
        <v/>
      </c>
      <c r="P78" s="3">
        <f>IF(O78="","Not appraised",IF(O78&gt;=Summary!$C$4,"High",IF(O78&gt;=Summary!$C$5,"Moderate","Low")))</f>
        <v/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1</v>
      </c>
      <c r="Y78" s="4" t="n">
        <v>0</v>
      </c>
      <c r="Z78" s="4" t="n">
        <v>0</v>
      </c>
      <c r="AA78" s="4" t="n">
        <v>0</v>
      </c>
      <c r="AB78" s="4" t="n">
        <v>0</v>
      </c>
      <c r="AC78" s="4" t="n">
        <v>0</v>
      </c>
      <c r="AD78" s="4" t="n">
        <v>0</v>
      </c>
      <c r="AE78" s="4" t="n">
        <v>0</v>
      </c>
      <c r="AF78" s="3" t="n">
        <v>0</v>
      </c>
      <c r="AG78" s="3" t="inlineStr"/>
    </row>
    <row r="79">
      <c r="A79" s="3" t="inlineStr">
        <is>
          <t>A078</t>
        </is>
      </c>
      <c r="B79" s="3" t="inlineStr">
        <is>
          <t>Analytics</t>
        </is>
      </c>
      <c r="C79" s="3" t="inlineStr">
        <is>
          <t>Theme 4</t>
        </is>
      </c>
      <c r="D79" s="3" t="inlineStr">
        <is>
          <t>Muhammad Inam Makki Khan, 2025</t>
        </is>
      </c>
      <c r="E79" s="3" t="inlineStr">
        <is>
          <t xml:space="preserve">Supply chain professionals </t>
        </is>
      </c>
      <c r="F79" s="3" t="inlineStr">
        <is>
          <t>Dynamic Capability Theory</t>
        </is>
      </c>
      <c r="G79" s="3" t="inlineStr">
        <is>
          <t>Recovery</t>
        </is>
      </c>
      <c r="H79" s="3" t="inlineStr">
        <is>
          <t>Cross-sectional single-source survey</t>
        </is>
      </c>
      <c r="I79" s="3" t="n">
        <v>441</v>
      </c>
      <c r="J79" s="4" t="n">
        <v>0</v>
      </c>
      <c r="K79" s="4" t="n">
        <v>1</v>
      </c>
      <c r="L79" s="4" t="n">
        <v>0</v>
      </c>
      <c r="M79" s="4" t="n">
        <v>0</v>
      </c>
      <c r="N79" s="4" t="n">
        <v>0</v>
      </c>
      <c r="O79" s="3">
        <f>IF(COUNT(J79:N79)=0,"",SUM(J79:N79))</f>
        <v/>
      </c>
      <c r="P79" s="3">
        <f>IF(O79="","Not appraised",IF(O79&gt;=Summary!$C$4,"High",IF(O79&gt;=Summary!$C$5,"Moderate","Low")))</f>
        <v/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1</v>
      </c>
      <c r="Y79" s="4" t="n">
        <v>0</v>
      </c>
      <c r="Z79" s="4" t="n">
        <v>0</v>
      </c>
      <c r="AA79" s="4" t="n">
        <v>0</v>
      </c>
      <c r="AB79" s="4" t="n">
        <v>0</v>
      </c>
      <c r="AC79" s="4" t="n">
        <v>0</v>
      </c>
      <c r="AD79" s="4" t="n">
        <v>0</v>
      </c>
      <c r="AE79" s="4" t="n">
        <v>0</v>
      </c>
      <c r="AF79" s="3" t="n">
        <v>0</v>
      </c>
      <c r="AG79" s="3" t="inlineStr"/>
    </row>
    <row r="80">
      <c r="A80" s="3" t="inlineStr">
        <is>
          <t>A079</t>
        </is>
      </c>
      <c r="B80" s="3" t="inlineStr">
        <is>
          <t>Analytics</t>
        </is>
      </c>
      <c r="C80" s="3" t="inlineStr">
        <is>
          <t>Theme 2</t>
        </is>
      </c>
      <c r="D80" s="3" t="inlineStr">
        <is>
          <t>Read Khalid Almheiri, 2024</t>
        </is>
      </c>
      <c r="E80" s="3" t="inlineStr">
        <is>
          <t xml:space="preserve">Supply chain professionals </t>
        </is>
      </c>
      <c r="F80" s="3" t="inlineStr">
        <is>
          <t>Not explicitly stated</t>
        </is>
      </c>
      <c r="G80" s="3" t="inlineStr">
        <is>
          <t>Resilience</t>
        </is>
      </c>
      <c r="H80" s="3" t="inlineStr">
        <is>
          <t>Cross-sectional single-source survey</t>
        </is>
      </c>
      <c r="I80" s="3" t="n">
        <v>260</v>
      </c>
      <c r="J80" s="4" t="n">
        <v>0</v>
      </c>
      <c r="K80" s="4" t="n">
        <v>1</v>
      </c>
      <c r="L80" s="4" t="n">
        <v>0</v>
      </c>
      <c r="M80" s="4" t="n">
        <v>0</v>
      </c>
      <c r="N80" s="4" t="n">
        <v>0</v>
      </c>
      <c r="O80" s="3">
        <f>IF(COUNT(J80:N80)=0,"",SUM(J80:N80))</f>
        <v/>
      </c>
      <c r="P80" s="3">
        <f>IF(O80="","Not appraised",IF(O80&gt;=Summary!$C$4,"High",IF(O80&gt;=Summary!$C$5,"Moderate","Low")))</f>
        <v/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1</v>
      </c>
      <c r="Y80" s="4" t="n">
        <v>0</v>
      </c>
      <c r="Z80" s="4" t="n">
        <v>0</v>
      </c>
      <c r="AA80" s="4" t="n">
        <v>0</v>
      </c>
      <c r="AB80" s="4" t="n">
        <v>0</v>
      </c>
      <c r="AC80" s="4" t="n">
        <v>0</v>
      </c>
      <c r="AD80" s="4" t="n">
        <v>0</v>
      </c>
      <c r="AE80" s="4" t="n">
        <v>0</v>
      </c>
      <c r="AF80" s="3" t="n">
        <v>0</v>
      </c>
      <c r="AG80" s="3" t="inlineStr"/>
    </row>
    <row r="81">
      <c r="A81" s="3" t="inlineStr">
        <is>
          <t>A080</t>
        </is>
      </c>
      <c r="B81" s="3" t="inlineStr">
        <is>
          <t>Analytics</t>
        </is>
      </c>
      <c r="C81" s="3" t="inlineStr">
        <is>
          <t>Theme 2</t>
        </is>
      </c>
      <c r="D81" s="3" t="inlineStr">
        <is>
          <t>Rameshwar Dubey,2022</t>
        </is>
      </c>
      <c r="E81" s="3" t="inlineStr">
        <is>
          <t>NGO</t>
        </is>
      </c>
      <c r="F81" s="3" t="inlineStr">
        <is>
          <t>Practice-based view</t>
        </is>
      </c>
      <c r="G81" s="3" t="inlineStr">
        <is>
          <t>Agility</t>
        </is>
      </c>
      <c r="H81" s="3" t="inlineStr">
        <is>
          <t>Cross-sectional single-source survey</t>
        </is>
      </c>
      <c r="I81" s="3" t="n">
        <v>171</v>
      </c>
      <c r="J81" s="4" t="n">
        <v>0</v>
      </c>
      <c r="K81" s="4" t="n">
        <v>1</v>
      </c>
      <c r="L81" s="4" t="n">
        <v>0</v>
      </c>
      <c r="M81" s="4" t="n">
        <v>0</v>
      </c>
      <c r="N81" s="4" t="n">
        <v>0</v>
      </c>
      <c r="O81" s="3">
        <f>IF(COUNT(J81:N81)=0,"",SUM(J81:N81))</f>
        <v/>
      </c>
      <c r="P81" s="3">
        <f>IF(O81="","Not appraised",IF(O81&gt;=Summary!$C$4,"High",IF(O81&gt;=Summary!$C$5,"Moderate","Low")))</f>
        <v/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1</v>
      </c>
      <c r="Y81" s="4" t="n">
        <v>0</v>
      </c>
      <c r="Z81" s="4" t="n">
        <v>0</v>
      </c>
      <c r="AA81" s="4" t="n">
        <v>0</v>
      </c>
      <c r="AB81" s="4" t="n">
        <v>1</v>
      </c>
      <c r="AC81" s="4" t="n">
        <v>0</v>
      </c>
      <c r="AD81" s="4" t="n">
        <v>0</v>
      </c>
      <c r="AE81" s="4" t="n">
        <v>0</v>
      </c>
      <c r="AF81" s="3" t="n">
        <v>0</v>
      </c>
      <c r="AG81" s="3" t="inlineStr"/>
    </row>
    <row r="82">
      <c r="A82" s="3" t="inlineStr">
        <is>
          <t>A081</t>
        </is>
      </c>
      <c r="B82" s="3" t="inlineStr">
        <is>
          <t>Analytics</t>
        </is>
      </c>
      <c r="C82" s="3" t="inlineStr">
        <is>
          <t>Theme 2</t>
        </is>
      </c>
      <c r="D82" s="3" t="inlineStr">
        <is>
          <t>Francis Kamewor Tetteh, 2023</t>
        </is>
      </c>
      <c r="E82" s="3" t="inlineStr">
        <is>
          <t xml:space="preserve">Healthcare </t>
        </is>
      </c>
      <c r="F82" s="3" t="inlineStr">
        <is>
          <t>Dynamic Capability Theory</t>
        </is>
      </c>
      <c r="G82" s="3" t="inlineStr">
        <is>
          <t>Flexibility</t>
        </is>
      </c>
      <c r="H82" s="3" t="inlineStr">
        <is>
          <t>Cross-sectional single-source survey</t>
        </is>
      </c>
      <c r="I82" s="3" t="n">
        <v>374</v>
      </c>
      <c r="J82" s="4" t="n">
        <v>0</v>
      </c>
      <c r="K82" s="4" t="n">
        <v>1</v>
      </c>
      <c r="L82" s="4" t="n">
        <v>0</v>
      </c>
      <c r="M82" s="4" t="n">
        <v>0</v>
      </c>
      <c r="N82" s="4" t="n">
        <v>0</v>
      </c>
      <c r="O82" s="3">
        <f>IF(COUNT(J82:N82)=0,"",SUM(J82:N82))</f>
        <v/>
      </c>
      <c r="P82" s="3">
        <f>IF(O82="","Not appraised",IF(O82&gt;=Summary!$C$4,"High",IF(O82&gt;=Summary!$C$5,"Moderate","Low")))</f>
        <v/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1</v>
      </c>
      <c r="Y82" s="4" t="n">
        <v>0</v>
      </c>
      <c r="Z82" s="4" t="n">
        <v>0</v>
      </c>
      <c r="AA82" s="4" t="n">
        <v>0</v>
      </c>
      <c r="AB82" s="4" t="n">
        <v>1</v>
      </c>
      <c r="AC82" s="4" t="n">
        <v>0</v>
      </c>
      <c r="AD82" s="4" t="n">
        <v>0</v>
      </c>
      <c r="AE82" s="4" t="n">
        <v>0</v>
      </c>
      <c r="AF82" s="3" t="n">
        <v>0</v>
      </c>
      <c r="AG82" s="3" t="inlineStr"/>
    </row>
    <row r="83">
      <c r="A83" s="3" t="inlineStr">
        <is>
          <t>A082</t>
        </is>
      </c>
      <c r="B83" s="3" t="inlineStr">
        <is>
          <t>Analytics</t>
        </is>
      </c>
      <c r="C83" s="3" t="inlineStr">
        <is>
          <t>Theme 3</t>
        </is>
      </c>
      <c r="D83" s="3" t="inlineStr">
        <is>
          <t>Hua Li, 2024</t>
        </is>
      </c>
      <c r="E83" s="3" t="inlineStr">
        <is>
          <t>Manufacturing</t>
        </is>
      </c>
      <c r="F83" s="3" t="inlineStr">
        <is>
          <t>Relational view</t>
        </is>
      </c>
      <c r="G83" s="3" t="inlineStr">
        <is>
          <t>Robustness</t>
        </is>
      </c>
      <c r="H83" s="3" t="inlineStr">
        <is>
          <t>Multi-wave / multi-respondent survey</t>
        </is>
      </c>
      <c r="I83" s="3" t="n">
        <v>121</v>
      </c>
      <c r="J83" s="4" t="n">
        <v>1</v>
      </c>
      <c r="K83" s="4" t="n">
        <v>0</v>
      </c>
      <c r="L83" s="4" t="n">
        <v>0</v>
      </c>
      <c r="M83" s="4" t="n">
        <v>1</v>
      </c>
      <c r="N83" s="4" t="n">
        <v>0</v>
      </c>
      <c r="O83" s="3">
        <f>IF(COUNT(J83:N83)=0,"",SUM(J83:N83))</f>
        <v/>
      </c>
      <c r="P83" s="3">
        <f>IF(O83="","Not appraised",IF(O83&gt;=Summary!$C$4,"High",IF(O83&gt;=Summary!$C$5,"Moderate","Low")))</f>
        <v/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1</v>
      </c>
      <c r="Y83" s="4" t="n">
        <v>0</v>
      </c>
      <c r="Z83" s="4" t="n">
        <v>0</v>
      </c>
      <c r="AA83" s="4" t="n">
        <v>0</v>
      </c>
      <c r="AB83" s="4" t="n">
        <v>1</v>
      </c>
      <c r="AC83" s="4" t="n">
        <v>0</v>
      </c>
      <c r="AD83" s="4" t="n">
        <v>0</v>
      </c>
      <c r="AE83" s="4" t="n">
        <v>0</v>
      </c>
      <c r="AF83" s="3" t="n">
        <v>0</v>
      </c>
      <c r="AG83" s="3" t="inlineStr"/>
    </row>
    <row r="84">
      <c r="A84" s="3" t="inlineStr">
        <is>
          <t>A083</t>
        </is>
      </c>
      <c r="B84" s="3" t="inlineStr">
        <is>
          <t>Analytics</t>
        </is>
      </c>
      <c r="C84" s="3" t="inlineStr">
        <is>
          <t>Theme 3</t>
        </is>
      </c>
      <c r="D84" s="3" t="inlineStr">
        <is>
          <t>Aleksi Harju, Jukka Hallikas,2023</t>
        </is>
      </c>
      <c r="E84" s="3" t="inlineStr">
        <is>
          <t>Procurement professionals</t>
        </is>
      </c>
      <c r="F84" s="3" t="inlineStr">
        <is>
          <t>Information processing theory</t>
        </is>
      </c>
      <c r="G84" s="3" t="inlineStr">
        <is>
          <t>Resilience</t>
        </is>
      </c>
      <c r="H84" s="3" t="inlineStr">
        <is>
          <t>Cross-sectional single-source survey</t>
        </is>
      </c>
      <c r="I84" s="3" t="n">
        <v>147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3">
        <f>IF(COUNT(J84:N84)=0,"",SUM(J84:N84))</f>
        <v/>
      </c>
      <c r="P84" s="3">
        <f>IF(O84="","Not appraised",IF(O84&gt;=Summary!$C$4,"High",IF(O84&gt;=Summary!$C$5,"Moderate","Low")))</f>
        <v/>
      </c>
      <c r="Q84" s="4" t="n">
        <v>0</v>
      </c>
      <c r="R84" s="4" t="n">
        <v>0</v>
      </c>
      <c r="S84" s="4" t="n">
        <v>0</v>
      </c>
      <c r="T84" s="4" t="n">
        <v>1</v>
      </c>
      <c r="U84" s="4" t="n">
        <v>0</v>
      </c>
      <c r="V84" s="4" t="n">
        <v>0</v>
      </c>
      <c r="W84" s="4" t="n">
        <v>0</v>
      </c>
      <c r="X84" s="4" t="n">
        <v>1</v>
      </c>
      <c r="Y84" s="4" t="n">
        <v>0</v>
      </c>
      <c r="Z84" s="4" t="n">
        <v>0</v>
      </c>
      <c r="AA84" s="4" t="n">
        <v>0</v>
      </c>
      <c r="AB84" s="4" t="n">
        <v>0</v>
      </c>
      <c r="AC84" s="4" t="n">
        <v>0</v>
      </c>
      <c r="AD84" s="4" t="n">
        <v>0</v>
      </c>
      <c r="AE84" s="4" t="n">
        <v>0</v>
      </c>
      <c r="AF84" s="3" t="n">
        <v>0</v>
      </c>
      <c r="AG84" s="3" t="inlineStr"/>
    </row>
    <row r="85">
      <c r="A85" s="3" t="inlineStr">
        <is>
          <t>B001</t>
        </is>
      </c>
      <c r="B85" s="3" t="inlineStr">
        <is>
          <t>Blockchain</t>
        </is>
      </c>
      <c r="C85" s="3" t="inlineStr">
        <is>
          <t>Theme 1</t>
        </is>
      </c>
      <c r="D85" s="3" t="inlineStr">
        <is>
          <t>Hajian, Rezaeinejad, Rayman, &amp; Khorsandroo (2025)</t>
        </is>
      </c>
      <c r="E85" s="3" t="inlineStr">
        <is>
          <t>Information technology</t>
        </is>
      </c>
      <c r="F85" s="3" t="inlineStr">
        <is>
          <t>Practice-Based View</t>
        </is>
      </c>
      <c r="G85" s="3" t="inlineStr">
        <is>
          <t>Cyber-resilience</t>
        </is>
      </c>
      <c r="H85" s="3" t="inlineStr">
        <is>
          <t>Experimental (vignette / between-subjects)</t>
        </is>
      </c>
      <c r="I85" s="3" t="n"/>
      <c r="J85" s="4" t="n">
        <v>1</v>
      </c>
      <c r="K85" s="4" t="n">
        <v>0</v>
      </c>
      <c r="L85" s="4" t="n">
        <v>1</v>
      </c>
      <c r="M85" s="4" t="n">
        <v>1</v>
      </c>
      <c r="N85" s="4" t="n">
        <v>0</v>
      </c>
      <c r="O85" s="3">
        <f>IF(COUNT(J85:N85)=0,"",SUM(J85:N85))</f>
        <v/>
      </c>
      <c r="P85" s="3">
        <f>IF(O85="","Not appraised",IF(O85&gt;=Summary!$C$4,"High",IF(O85&gt;=Summary!$C$5,"Moderate","Low")))</f>
        <v/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n">
        <v>0</v>
      </c>
      <c r="AC85" s="4" t="n">
        <v>0</v>
      </c>
      <c r="AD85" s="4" t="n">
        <v>0</v>
      </c>
      <c r="AE85" s="4" t="n">
        <v>0</v>
      </c>
      <c r="AF85" s="3" t="n">
        <v>0</v>
      </c>
      <c r="AG85" s="3" t="inlineStr">
        <is>
          <t>sample size not in extraction sheet (Q2 scored 0)</t>
        </is>
      </c>
    </row>
    <row r="86">
      <c r="A86" s="3" t="inlineStr">
        <is>
          <t>B002</t>
        </is>
      </c>
      <c r="B86" s="3" t="inlineStr">
        <is>
          <t>Blockchain</t>
        </is>
      </c>
      <c r="C86" s="3" t="inlineStr">
        <is>
          <t>Theme 1</t>
        </is>
      </c>
      <c r="D86" s="3" t="inlineStr">
        <is>
          <t>Aamir Rashid; Syed Baber Ali; Rizwana Rasheed; Noor Aina Amirah, 2022</t>
        </is>
      </c>
      <c r="E86" s="3" t="inlineStr">
        <is>
          <t>Supply chains managers</t>
        </is>
      </c>
      <c r="F86" s="3" t="inlineStr">
        <is>
          <t xml:space="preserve">Not stated </t>
        </is>
      </c>
      <c r="G86" s="3" t="inlineStr">
        <is>
          <t>Adaptability</t>
        </is>
      </c>
      <c r="H86" s="3" t="inlineStr">
        <is>
          <t>Cross-sectional single-source survey</t>
        </is>
      </c>
      <c r="I86" s="3" t="n">
        <v>150</v>
      </c>
      <c r="J86" s="4" t="n">
        <v>0</v>
      </c>
      <c r="K86" s="4" t="n">
        <v>1</v>
      </c>
      <c r="L86" s="4" t="n">
        <v>0</v>
      </c>
      <c r="M86" s="4" t="n">
        <v>0</v>
      </c>
      <c r="N86" s="4" t="n">
        <v>0</v>
      </c>
      <c r="O86" s="3">
        <f>IF(COUNT(J86:N86)=0,"",SUM(J86:N86))</f>
        <v/>
      </c>
      <c r="P86" s="3">
        <f>IF(O86="","Not appraised",IF(O86&gt;=Summary!$C$4,"High",IF(O86&gt;=Summary!$C$5,"Moderate","Low")))</f>
        <v/>
      </c>
      <c r="Q86" s="4" t="n">
        <v>1</v>
      </c>
      <c r="R86" s="4" t="n">
        <v>1</v>
      </c>
      <c r="S86" s="4" t="n">
        <v>0</v>
      </c>
      <c r="T86" s="4" t="n">
        <v>0</v>
      </c>
      <c r="U86" s="4" t="n">
        <v>1</v>
      </c>
      <c r="V86" s="4" t="n">
        <v>0</v>
      </c>
      <c r="W86" s="4" t="n">
        <v>0</v>
      </c>
      <c r="X86" s="4" t="n">
        <v>0</v>
      </c>
      <c r="Y86" s="4" t="n">
        <v>1</v>
      </c>
      <c r="Z86" s="4" t="n">
        <v>0</v>
      </c>
      <c r="AA86" s="4" t="n">
        <v>0</v>
      </c>
      <c r="AB86" s="4" t="n">
        <v>1</v>
      </c>
      <c r="AC86" s="4" t="n">
        <v>0</v>
      </c>
      <c r="AD86" s="4" t="n">
        <v>0</v>
      </c>
      <c r="AE86" s="4" t="n">
        <v>0</v>
      </c>
      <c r="AF86" s="3" t="n">
        <v>0</v>
      </c>
      <c r="AG86" s="3" t="inlineStr"/>
    </row>
    <row r="87">
      <c r="A87" s="3" t="inlineStr">
        <is>
          <t>B003</t>
        </is>
      </c>
      <c r="B87" s="3" t="inlineStr">
        <is>
          <t>Blockchain</t>
        </is>
      </c>
      <c r="C87" s="3" t="inlineStr">
        <is>
          <t>Theme 4</t>
        </is>
      </c>
      <c r="D87" s="3" t="inlineStr">
        <is>
          <t>Ivan Kudrenko</t>
        </is>
      </c>
      <c r="E87" s="3" t="inlineStr">
        <is>
          <t xml:space="preserve">Logistics &amp; supply chain management </t>
        </is>
      </c>
      <c r="F87" s="3" t="inlineStr">
        <is>
          <t>Not stated</t>
        </is>
      </c>
      <c r="G87" s="3" t="inlineStr">
        <is>
          <t>Readines</t>
        </is>
      </c>
      <c r="H87" s="3" t="inlineStr">
        <is>
          <t>Cross-sectional single-source survey</t>
        </is>
      </c>
      <c r="I87" s="3" t="n">
        <v>122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3">
        <f>IF(COUNT(J87:N87)=0,"",SUM(J87:N87))</f>
        <v/>
      </c>
      <c r="P87" s="3">
        <f>IF(O87="","Not appraised",IF(O87&gt;=Summary!$C$4,"High",IF(O87&gt;=Summary!$C$5,"Moderate","Low")))</f>
        <v/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 t="n">
        <v>0</v>
      </c>
      <c r="AC87" s="4" t="n">
        <v>0</v>
      </c>
      <c r="AD87" s="4" t="n">
        <v>0</v>
      </c>
      <c r="AE87" s="4" t="n">
        <v>0</v>
      </c>
      <c r="AF87" s="3" t="n">
        <v>0</v>
      </c>
      <c r="AG87" s="3" t="inlineStr"/>
    </row>
    <row r="88">
      <c r="A88" s="3" t="inlineStr">
        <is>
          <t>B004</t>
        </is>
      </c>
      <c r="B88" s="3" t="inlineStr">
        <is>
          <t>Blockchain</t>
        </is>
      </c>
      <c r="C88" s="3" t="inlineStr">
        <is>
          <t>Theme 2</t>
        </is>
      </c>
      <c r="D88" s="3" t="inlineStr">
        <is>
          <t>Wang M; Yang Y, 2022</t>
        </is>
      </c>
      <c r="E88" s="3" t="inlineStr">
        <is>
          <t xml:space="preserve">Supply chains </t>
        </is>
      </c>
      <c r="F88" s="3" t="inlineStr">
        <is>
          <t>Not stated</t>
        </is>
      </c>
      <c r="G88" s="3" t="inlineStr">
        <is>
          <t xml:space="preserve"> Flexibility</t>
        </is>
      </c>
      <c r="H88" s="3" t="inlineStr">
        <is>
          <t>Cross-sectional single-source survey</t>
        </is>
      </c>
      <c r="I88" s="3" t="n">
        <v>338</v>
      </c>
      <c r="J88" s="4" t="n">
        <v>0</v>
      </c>
      <c r="K88" s="4" t="n">
        <v>1</v>
      </c>
      <c r="L88" s="4" t="n">
        <v>0</v>
      </c>
      <c r="M88" s="4" t="n">
        <v>0</v>
      </c>
      <c r="N88" s="4" t="n">
        <v>0</v>
      </c>
      <c r="O88" s="3">
        <f>IF(COUNT(J88:N88)=0,"",SUM(J88:N88))</f>
        <v/>
      </c>
      <c r="P88" s="3">
        <f>IF(O88="","Not appraised",IF(O88&gt;=Summary!$C$4,"High",IF(O88&gt;=Summary!$C$5,"Moderate","Low")))</f>
        <v/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1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n">
        <v>1</v>
      </c>
      <c r="AC88" s="4" t="n">
        <v>0</v>
      </c>
      <c r="AD88" s="4" t="n">
        <v>0</v>
      </c>
      <c r="AE88" s="4" t="n">
        <v>0</v>
      </c>
      <c r="AF88" s="3" t="n">
        <v>0</v>
      </c>
      <c r="AG88" s="3" t="inlineStr"/>
    </row>
    <row r="89">
      <c r="A89" s="3" t="inlineStr">
        <is>
          <t>B005</t>
        </is>
      </c>
      <c r="B89" s="3" t="inlineStr">
        <is>
          <t>Blockchain</t>
        </is>
      </c>
      <c r="C89" s="3" t="inlineStr">
        <is>
          <t>Theme 2</t>
        </is>
      </c>
      <c r="D89" s="3" t="inlineStr">
        <is>
          <t>Ganesh Kumar R; Dinesh Kumar S; C. Anirvinna; Rapaka David Goodwin, 2025</t>
        </is>
      </c>
      <c r="E89" s="3" t="inlineStr">
        <is>
          <t>Cross-industry</t>
        </is>
      </c>
      <c r="F89" s="3" t="inlineStr">
        <is>
          <t>Not stated</t>
        </is>
      </c>
      <c r="G89" s="3" t="inlineStr">
        <is>
          <t>Agility</t>
        </is>
      </c>
      <c r="H89" s="3" t="inlineStr">
        <is>
          <t>Cross-sectional single-source survey</t>
        </is>
      </c>
      <c r="I89" s="3" t="n"/>
      <c r="J89" s="4" t="n">
        <v>0</v>
      </c>
      <c r="K89" s="4" t="n">
        <v>0</v>
      </c>
      <c r="L89" s="4" t="n">
        <v>0</v>
      </c>
      <c r="M89" s="4" t="n">
        <v>0</v>
      </c>
      <c r="N89" s="4" t="n">
        <v>0</v>
      </c>
      <c r="O89" s="3">
        <f>IF(COUNT(J89:N89)=0,"",SUM(J89:N89))</f>
        <v/>
      </c>
      <c r="P89" s="3">
        <f>IF(O89="","Not appraised",IF(O89&gt;=Summary!$C$4,"High",IF(O89&gt;=Summary!$C$5,"Moderate","Low")))</f>
        <v/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n">
        <v>1</v>
      </c>
      <c r="AC89" s="4" t="n">
        <v>0</v>
      </c>
      <c r="AD89" s="4" t="n">
        <v>0</v>
      </c>
      <c r="AE89" s="4" t="n">
        <v>0</v>
      </c>
      <c r="AF89" s="3" t="n">
        <v>0</v>
      </c>
      <c r="AG89" s="3" t="inlineStr">
        <is>
          <t>sample size not in extraction sheet (Q2 scored 0)</t>
        </is>
      </c>
    </row>
    <row r="90">
      <c r="A90" s="3" t="inlineStr">
        <is>
          <t>B006</t>
        </is>
      </c>
      <c r="B90" s="3" t="inlineStr">
        <is>
          <t>Blockchain</t>
        </is>
      </c>
      <c r="C90" s="3" t="inlineStr">
        <is>
          <t>Theme 2</t>
        </is>
      </c>
      <c r="D90" s="3" t="inlineStr">
        <is>
          <t>Haidi Zhou; Qiang Wang; Xiande Zhao, 2025</t>
        </is>
      </c>
      <c r="E90" s="3" t="inlineStr">
        <is>
          <t>Manufacturing</t>
        </is>
      </c>
      <c r="F90" s="3" t="inlineStr">
        <is>
          <t xml:space="preserve">Complex adaptive systems </t>
        </is>
      </c>
      <c r="G90" s="3" t="inlineStr">
        <is>
          <t>Flexibility</t>
        </is>
      </c>
      <c r="H90" s="3" t="inlineStr">
        <is>
          <t>Quasi-experimental / archival / panel</t>
        </is>
      </c>
      <c r="I90" s="3" t="n"/>
      <c r="J90" s="4" t="n">
        <v>1</v>
      </c>
      <c r="K90" s="4" t="n">
        <v>0</v>
      </c>
      <c r="L90" s="4" t="n">
        <v>1</v>
      </c>
      <c r="M90" s="4" t="n">
        <v>1</v>
      </c>
      <c r="N90" s="4" t="n">
        <v>1</v>
      </c>
      <c r="O90" s="3">
        <f>IF(COUNT(J90:N90)=0,"",SUM(J90:N90))</f>
        <v/>
      </c>
      <c r="P90" s="3">
        <f>IF(O90="","Not appraised",IF(O90&gt;=Summary!$C$4,"High",IF(O90&gt;=Summary!$C$5,"Moderate","Low")))</f>
        <v/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n">
        <v>1</v>
      </c>
      <c r="AC90" s="4" t="n">
        <v>0</v>
      </c>
      <c r="AD90" s="4" t="n">
        <v>0</v>
      </c>
      <c r="AE90" s="4" t="n">
        <v>0</v>
      </c>
      <c r="AF90" s="3" t="n">
        <v>0</v>
      </c>
      <c r="AG90" s="3" t="inlineStr">
        <is>
          <t>sample size not in extraction sheet (Q2 scored 0)</t>
        </is>
      </c>
    </row>
    <row r="91">
      <c r="A91" s="3" t="inlineStr">
        <is>
          <t>B007</t>
        </is>
      </c>
      <c r="B91" s="3" t="inlineStr">
        <is>
          <t>Blockchain</t>
        </is>
      </c>
      <c r="C91" s="3" t="inlineStr">
        <is>
          <t>Theme 2</t>
        </is>
      </c>
      <c r="D91" s="3" t="inlineStr">
        <is>
          <t>Prateek Sharma; Dhirendra Mani Shukla; Alok Raj, 2023</t>
        </is>
      </c>
      <c r="E91" s="3" t="inlineStr">
        <is>
          <t xml:space="preserve">Multi-industry </t>
        </is>
      </c>
      <c r="F91" s="3" t="inlineStr">
        <is>
          <t>Dynamic capabilities perspective</t>
        </is>
      </c>
      <c r="G91" s="3" t="inlineStr">
        <is>
          <t>Agility</t>
        </is>
      </c>
      <c r="H91" s="3" t="inlineStr">
        <is>
          <t>Quasi-experimental / archival / panel</t>
        </is>
      </c>
      <c r="I91" s="3" t="n">
        <v>4994</v>
      </c>
      <c r="J91" s="4" t="n">
        <v>1</v>
      </c>
      <c r="K91" s="4" t="n">
        <v>1</v>
      </c>
      <c r="L91" s="4" t="n">
        <v>1</v>
      </c>
      <c r="M91" s="4" t="n">
        <v>1</v>
      </c>
      <c r="N91" s="4" t="n">
        <v>1</v>
      </c>
      <c r="O91" s="3">
        <f>IF(COUNT(J91:N91)=0,"",SUM(J91:N91))</f>
        <v/>
      </c>
      <c r="P91" s="3">
        <f>IF(O91="","Not appraised",IF(O91&gt;=Summary!$C$4,"High",IF(O91&gt;=Summary!$C$5,"Moderate","Low")))</f>
        <v/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1</v>
      </c>
      <c r="AC91" s="4" t="n">
        <v>0</v>
      </c>
      <c r="AD91" s="4" t="n">
        <v>0</v>
      </c>
      <c r="AE91" s="4" t="n">
        <v>0</v>
      </c>
      <c r="AF91" s="3" t="n">
        <v>0</v>
      </c>
      <c r="AG91" s="3" t="inlineStr"/>
    </row>
    <row r="92">
      <c r="A92" s="3" t="inlineStr">
        <is>
          <t>B008</t>
        </is>
      </c>
      <c r="B92" s="3" t="inlineStr">
        <is>
          <t>Blockchain</t>
        </is>
      </c>
      <c r="C92" s="3" t="inlineStr">
        <is>
          <t>Theme 3</t>
        </is>
      </c>
      <c r="D92" s="3" t="inlineStr">
        <is>
          <t>Maciel M. Queiroz; Samuel Fosso Wamba; Marc De Bourmont; Renato Telles, 2021</t>
        </is>
      </c>
      <c r="E92" s="3" t="inlineStr">
        <is>
          <t xml:space="preserve"> Cross-industry SCM</t>
        </is>
      </c>
      <c r="F92" s="3" t="inlineStr">
        <is>
          <t>UTAUT (modified)</t>
        </is>
      </c>
      <c r="G92" s="3" t="inlineStr">
        <is>
          <t>Trust</t>
        </is>
      </c>
      <c r="H92" s="3" t="inlineStr">
        <is>
          <t>Cross-sectional single-source survey</t>
        </is>
      </c>
      <c r="I92" s="3" t="n"/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3">
        <f>IF(COUNT(J92:N92)=0,"",SUM(J92:N92))</f>
        <v/>
      </c>
      <c r="P92" s="3">
        <f>IF(O92="","Not appraised",IF(O92&gt;=Summary!$C$4,"High",IF(O92&gt;=Summary!$C$5,"Moderate","Low")))</f>
        <v/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1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n">
        <v>0</v>
      </c>
      <c r="AC92" s="4" t="n">
        <v>0</v>
      </c>
      <c r="AD92" s="4" t="n">
        <v>0</v>
      </c>
      <c r="AE92" s="4" t="n">
        <v>0</v>
      </c>
      <c r="AF92" s="3" t="n">
        <v>0</v>
      </c>
      <c r="AG92" s="3" t="inlineStr">
        <is>
          <t>sample size not in extraction sheet (Q2 scored 0)</t>
        </is>
      </c>
    </row>
    <row r="93">
      <c r="A93" s="3" t="inlineStr">
        <is>
          <t>B009</t>
        </is>
      </c>
      <c r="B93" s="3" t="inlineStr">
        <is>
          <t>Blockchain</t>
        </is>
      </c>
      <c r="C93" s="3" t="inlineStr">
        <is>
          <t>Theme 1</t>
        </is>
      </c>
      <c r="D93" s="3" t="inlineStr">
        <is>
          <t>Michael Rogerson; Glenn C. Parry, 2020</t>
        </is>
      </c>
      <c r="E93" s="3" t="inlineStr">
        <is>
          <t xml:space="preserve">Food supply chains </t>
        </is>
      </c>
      <c r="F93" s="3" t="inlineStr">
        <is>
          <t>Not stated</t>
        </is>
      </c>
      <c r="G93" s="3" t="inlineStr">
        <is>
          <t>Risk management</t>
        </is>
      </c>
      <c r="H93" s="3" t="inlineStr">
        <is>
          <t>Qualitative / case study</t>
        </is>
      </c>
      <c r="I93" s="3" t="n"/>
      <c r="J93" s="4" t="n">
        <v>1</v>
      </c>
      <c r="K93" s="4" t="n">
        <v>1</v>
      </c>
      <c r="L93" s="4" t="n">
        <v>0</v>
      </c>
      <c r="M93" s="4" t="n">
        <v>0</v>
      </c>
      <c r="N93" s="4" t="n">
        <v>1</v>
      </c>
      <c r="O93" s="3">
        <f>IF(COUNT(J93:N93)=0,"",SUM(J93:N93))</f>
        <v/>
      </c>
      <c r="P93" s="3">
        <f>IF(O93="","Not appraised",IF(O93&gt;=Summary!$C$4,"High",IF(O93&gt;=Summary!$C$5,"Moderate","Low")))</f>
        <v/>
      </c>
      <c r="Q93" s="4" t="n">
        <v>0</v>
      </c>
      <c r="R93" s="4" t="n">
        <v>1</v>
      </c>
      <c r="S93" s="4" t="n">
        <v>0</v>
      </c>
      <c r="T93" s="4" t="n">
        <v>0</v>
      </c>
      <c r="U93" s="4" t="n">
        <v>1</v>
      </c>
      <c r="V93" s="4" t="n">
        <v>0</v>
      </c>
      <c r="W93" s="4" t="n">
        <v>0</v>
      </c>
      <c r="X93" s="4" t="n">
        <v>0</v>
      </c>
      <c r="Y93" s="4" t="n">
        <v>1</v>
      </c>
      <c r="Z93" s="4" t="n">
        <v>0</v>
      </c>
      <c r="AA93" s="4" t="n">
        <v>0</v>
      </c>
      <c r="AB93" s="4" t="n">
        <v>0</v>
      </c>
      <c r="AC93" s="4" t="n">
        <v>0</v>
      </c>
      <c r="AD93" s="4" t="n">
        <v>0</v>
      </c>
      <c r="AE93" s="4" t="n">
        <v>0</v>
      </c>
      <c r="AF93" s="3" t="n">
        <v>0</v>
      </c>
      <c r="AG93" s="3" t="inlineStr"/>
    </row>
    <row r="94">
      <c r="A94" s="3" t="inlineStr">
        <is>
          <t>B010</t>
        </is>
      </c>
      <c r="B94" s="3" t="inlineStr">
        <is>
          <t>Blockchain</t>
        </is>
      </c>
      <c r="C94" s="3" t="inlineStr">
        <is>
          <t>Theme 2</t>
        </is>
      </c>
      <c r="D94" s="3" t="inlineStr">
        <is>
          <t>Arghya Bagchi; Nirmal Baran Hui; Saurabh Pratap, 2025</t>
        </is>
      </c>
      <c r="E94" s="3" t="inlineStr">
        <is>
          <t>Healthcare</t>
        </is>
      </c>
      <c r="F94" s="3" t="inlineStr">
        <is>
          <t xml:space="preserve">Not stated </t>
        </is>
      </c>
      <c r="G94" s="3" t="inlineStr">
        <is>
          <t>Resilience</t>
        </is>
      </c>
      <c r="H94" s="3" t="inlineStr">
        <is>
          <t>Cross-sectional single-source survey</t>
        </is>
      </c>
      <c r="I94" s="3" t="n">
        <v>272</v>
      </c>
      <c r="J94" s="4" t="n">
        <v>0</v>
      </c>
      <c r="K94" s="4" t="n">
        <v>1</v>
      </c>
      <c r="L94" s="4" t="n">
        <v>0</v>
      </c>
      <c r="M94" s="4" t="n">
        <v>0</v>
      </c>
      <c r="N94" s="4" t="n">
        <v>0</v>
      </c>
      <c r="O94" s="3">
        <f>IF(COUNT(J94:N94)=0,"",SUM(J94:N94))</f>
        <v/>
      </c>
      <c r="P94" s="3">
        <f>IF(O94="","Not appraised",IF(O94&gt;=Summary!$C$4,"High",IF(O94&gt;=Summary!$C$5,"Moderate","Low")))</f>
        <v/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1</v>
      </c>
      <c r="AB94" s="4" t="n">
        <v>0</v>
      </c>
      <c r="AC94" s="4" t="n">
        <v>0</v>
      </c>
      <c r="AD94" s="4" t="n">
        <v>0</v>
      </c>
      <c r="AE94" s="4" t="n">
        <v>0</v>
      </c>
      <c r="AF94" s="3" t="n">
        <v>0</v>
      </c>
      <c r="AG94" s="3" t="inlineStr"/>
    </row>
    <row r="95">
      <c r="A95" s="3" t="inlineStr">
        <is>
          <t>B011</t>
        </is>
      </c>
      <c r="B95" s="3" t="inlineStr">
        <is>
          <t>Blockchain</t>
        </is>
      </c>
      <c r="C95" s="3" t="inlineStr">
        <is>
          <t>Theme 4</t>
        </is>
      </c>
      <c r="D95" s="3" t="inlineStr">
        <is>
          <t>Muhamad Fauzan Nugraha; Rajiv Dharma Mangruwa; Uruqul Nadhif Dzakiy, 2025</t>
        </is>
      </c>
      <c r="E95" s="3" t="inlineStr">
        <is>
          <t xml:space="preserve">Halal-certified food &amp; beverage </t>
        </is>
      </c>
      <c r="F95" s="3" t="inlineStr">
        <is>
          <t>Resource-Based View</t>
        </is>
      </c>
      <c r="G95" s="3" t="inlineStr">
        <is>
          <t>Resilience</t>
        </is>
      </c>
      <c r="H95" s="3" t="inlineStr">
        <is>
          <t>Cross-sectional single-source survey</t>
        </is>
      </c>
      <c r="I95" s="3" t="n">
        <v>151</v>
      </c>
      <c r="J95" s="4" t="n">
        <v>0</v>
      </c>
      <c r="K95" s="4" t="n">
        <v>1</v>
      </c>
      <c r="L95" s="4" t="n">
        <v>0</v>
      </c>
      <c r="M95" s="4" t="n">
        <v>0</v>
      </c>
      <c r="N95" s="4" t="n">
        <v>0</v>
      </c>
      <c r="O95" s="3">
        <f>IF(COUNT(J95:N95)=0,"",SUM(J95:N95))</f>
        <v/>
      </c>
      <c r="P95" s="3">
        <f>IF(O95="","Not appraised",IF(O95&gt;=Summary!$C$4,"High",IF(O95&gt;=Summary!$C$5,"Moderate","Low")))</f>
        <v/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n">
        <v>0</v>
      </c>
      <c r="AC95" s="4" t="n">
        <v>0</v>
      </c>
      <c r="AD95" s="4" t="n">
        <v>0</v>
      </c>
      <c r="AE95" s="4" t="n">
        <v>0</v>
      </c>
      <c r="AF95" s="3" t="n">
        <v>1</v>
      </c>
      <c r="AG95" s="3" t="inlineStr"/>
    </row>
    <row r="96">
      <c r="A96" s="3" t="inlineStr">
        <is>
          <t>B012</t>
        </is>
      </c>
      <c r="B96" s="3" t="inlineStr">
        <is>
          <t>Blockchain</t>
        </is>
      </c>
      <c r="C96" s="3" t="inlineStr">
        <is>
          <t>Theme 4</t>
        </is>
      </c>
      <c r="D96" s="3" t="inlineStr">
        <is>
          <t>Liu, Fang, Feng &amp; Xi, 2024</t>
        </is>
      </c>
      <c r="E96" s="3" t="inlineStr">
        <is>
          <t>Manufacturing</t>
        </is>
      </c>
      <c r="F96" s="3" t="inlineStr">
        <is>
          <t>Organizational Information Processing Theory; Leadership Theory</t>
        </is>
      </c>
      <c r="G96" s="3" t="inlineStr">
        <is>
          <t>Resilience</t>
        </is>
      </c>
      <c r="H96" s="3" t="inlineStr">
        <is>
          <t>Multi-wave / multi-respondent survey</t>
        </is>
      </c>
      <c r="I96" s="3" t="n">
        <v>317</v>
      </c>
      <c r="J96" s="4" t="n">
        <v>1</v>
      </c>
      <c r="K96" s="4" t="n">
        <v>1</v>
      </c>
      <c r="L96" s="4" t="n">
        <v>0</v>
      </c>
      <c r="M96" s="4" t="n">
        <v>1</v>
      </c>
      <c r="N96" s="4" t="n">
        <v>0</v>
      </c>
      <c r="O96" s="3">
        <f>IF(COUNT(J96:N96)=0,"",SUM(J96:N96))</f>
        <v/>
      </c>
      <c r="P96" s="3">
        <f>IF(O96="","Not appraised",IF(O96&gt;=Summary!$C$4,"High",IF(O96&gt;=Summary!$C$5,"Moderate","Low")))</f>
        <v/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n">
        <v>0</v>
      </c>
      <c r="AC96" s="4" t="n">
        <v>1</v>
      </c>
      <c r="AD96" s="4" t="n">
        <v>0</v>
      </c>
      <c r="AE96" s="4" t="n">
        <v>0</v>
      </c>
      <c r="AF96" s="3" t="n">
        <v>0</v>
      </c>
      <c r="AG96" s="3" t="inlineStr"/>
    </row>
    <row r="97">
      <c r="A97" s="3" t="inlineStr">
        <is>
          <t>B013</t>
        </is>
      </c>
      <c r="B97" s="3" t="inlineStr">
        <is>
          <t>Blockchain</t>
        </is>
      </c>
      <c r="C97" s="3" t="inlineStr">
        <is>
          <t>Theme 4</t>
        </is>
      </c>
      <c r="D97" s="3" t="inlineStr">
        <is>
          <t>Summer  K.  Mohamed,Sandra  Haddad,2023</t>
        </is>
      </c>
      <c r="E97" s="3" t="inlineStr">
        <is>
          <t>Manufacturing &amp; services</t>
        </is>
      </c>
      <c r="F97" s="3" t="inlineStr">
        <is>
          <t>Knowledge-Based View; Dynamic Capabilities Theory</t>
        </is>
      </c>
      <c r="G97" s="3" t="inlineStr">
        <is>
          <t>Adaptability</t>
        </is>
      </c>
      <c r="H97" s="3" t="inlineStr">
        <is>
          <t>Cross-sectional single-source survey</t>
        </is>
      </c>
      <c r="I97" s="3" t="n">
        <v>603</v>
      </c>
      <c r="J97" s="4" t="n">
        <v>0</v>
      </c>
      <c r="K97" s="4" t="n">
        <v>1</v>
      </c>
      <c r="L97" s="4" t="n">
        <v>0</v>
      </c>
      <c r="M97" s="4" t="n">
        <v>0</v>
      </c>
      <c r="N97" s="4" t="n">
        <v>0</v>
      </c>
      <c r="O97" s="3">
        <f>IF(COUNT(J97:N97)=0,"",SUM(J97:N97))</f>
        <v/>
      </c>
      <c r="P97" s="3">
        <f>IF(O97="","Not appraised",IF(O97&gt;=Summary!$C$4,"High",IF(O97&gt;=Summary!$C$5,"Moderate","Low")))</f>
        <v/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1</v>
      </c>
      <c r="AB97" s="4" t="n">
        <v>0</v>
      </c>
      <c r="AC97" s="4" t="n">
        <v>0</v>
      </c>
      <c r="AD97" s="4" t="n">
        <v>0</v>
      </c>
      <c r="AE97" s="4" t="n">
        <v>0</v>
      </c>
      <c r="AF97" s="3" t="n">
        <v>0</v>
      </c>
      <c r="AG97" s="3" t="inlineStr"/>
    </row>
    <row r="98">
      <c r="A98" s="3" t="inlineStr">
        <is>
          <t>B014</t>
        </is>
      </c>
      <c r="B98" s="3" t="inlineStr">
        <is>
          <t>Blockchain</t>
        </is>
      </c>
      <c r="C98" s="3" t="inlineStr">
        <is>
          <t>Theme 1</t>
        </is>
      </c>
      <c r="D98" s="3" t="inlineStr">
        <is>
          <t>Chowdhury, Abedin &amp; Rahman, 2023</t>
        </is>
      </c>
      <c r="E98" s="3" t="inlineStr">
        <is>
          <t xml:space="preserve">Multi-industry </t>
        </is>
      </c>
      <c r="F98" s="3" t="inlineStr">
        <is>
          <t xml:space="preserve">Technology Acceptance Model </t>
        </is>
      </c>
      <c r="G98" s="3" t="inlineStr">
        <is>
          <t>Risk management</t>
        </is>
      </c>
      <c r="H98" s="3" t="inlineStr">
        <is>
          <t>Cross-sectional single-source survey</t>
        </is>
      </c>
      <c r="I98" s="3" t="n">
        <v>116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3">
        <f>IF(COUNT(J98:N98)=0,"",SUM(J98:N98))</f>
        <v/>
      </c>
      <c r="P98" s="3">
        <f>IF(O98="","Not appraised",IF(O98&gt;=Summary!$C$4,"High",IF(O98&gt;=Summary!$C$5,"Moderate","Low")))</f>
        <v/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n">
        <v>0</v>
      </c>
      <c r="AC98" s="4" t="n">
        <v>0</v>
      </c>
      <c r="AD98" s="4" t="n">
        <v>1</v>
      </c>
      <c r="AE98" s="4" t="n">
        <v>0</v>
      </c>
      <c r="AF98" s="3" t="n">
        <v>0</v>
      </c>
      <c r="AG98" s="3" t="inlineStr"/>
    </row>
    <row r="99">
      <c r="A99" s="3" t="inlineStr">
        <is>
          <t>B015</t>
        </is>
      </c>
      <c r="B99" s="3" t="inlineStr">
        <is>
          <t>Blockchain</t>
        </is>
      </c>
      <c r="C99" s="3" t="inlineStr">
        <is>
          <t>Theme 3</t>
        </is>
      </c>
      <c r="D99" s="3" t="inlineStr">
        <is>
          <t>Pattanayak et al., 2024</t>
        </is>
      </c>
      <c r="E99" s="3" t="inlineStr">
        <is>
          <t>Cross-industry</t>
        </is>
      </c>
      <c r="F99" s="3" t="inlineStr">
        <is>
          <t>Relational view; Dynamic capability view</t>
        </is>
      </c>
      <c r="G99" s="3" t="inlineStr">
        <is>
          <t>Trust</t>
        </is>
      </c>
      <c r="H99" s="3" t="inlineStr">
        <is>
          <t>Qualitative / case study</t>
        </is>
      </c>
      <c r="I99" s="3" t="n"/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3">
        <f>IF(COUNT(J99:N99)=0,"",SUM(J99:N99))</f>
        <v/>
      </c>
      <c r="P99" s="3">
        <f>IF(O99="","Not appraised",IF(O99&gt;=Summary!$C$4,"High",IF(O99&gt;=Summary!$C$5,"Moderate","Low")))</f>
        <v/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1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n">
        <v>0</v>
      </c>
      <c r="AC99" s="4" t="n">
        <v>0</v>
      </c>
      <c r="AD99" s="4" t="n">
        <v>0</v>
      </c>
      <c r="AE99" s="4" t="n">
        <v>0</v>
      </c>
      <c r="AF99" s="3" t="n">
        <v>0</v>
      </c>
      <c r="AG99" s="3" t="inlineStr"/>
    </row>
    <row r="100">
      <c r="A100" s="3" t="inlineStr">
        <is>
          <t>B016</t>
        </is>
      </c>
      <c r="B100" s="3" t="inlineStr">
        <is>
          <t>Blockchain</t>
        </is>
      </c>
      <c r="C100" s="3" t="inlineStr">
        <is>
          <t>Theme 3</t>
        </is>
      </c>
      <c r="D100" s="3" t="inlineStr">
        <is>
          <t>Dubey et al., 2020</t>
        </is>
      </c>
      <c r="E100" s="3" t="inlineStr">
        <is>
          <t>Humanitarian supply chain</t>
        </is>
      </c>
      <c r="F100" s="3" t="inlineStr">
        <is>
          <t>Organizational Information Processing Theory &amp; Relational View</t>
        </is>
      </c>
      <c r="G100" s="3" t="inlineStr">
        <is>
          <t>Collaboration</t>
        </is>
      </c>
      <c r="H100" s="3" t="inlineStr">
        <is>
          <t>Cross-sectional single-source survey</t>
        </is>
      </c>
      <c r="I100" s="3" t="n"/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3">
        <f>IF(COUNT(J100:N100)=0,"",SUM(J100:N100))</f>
        <v/>
      </c>
      <c r="P100" s="3">
        <f>IF(O100="","Not appraised",IF(O100&gt;=Summary!$C$4,"High",IF(O100&gt;=Summary!$C$5,"Moderate","Low")))</f>
        <v/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1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1</v>
      </c>
      <c r="AB100" s="4" t="n">
        <v>0</v>
      </c>
      <c r="AC100" s="4" t="n">
        <v>0</v>
      </c>
      <c r="AD100" s="4" t="n">
        <v>0</v>
      </c>
      <c r="AE100" s="4" t="n">
        <v>0</v>
      </c>
      <c r="AF100" s="3" t="n">
        <v>0</v>
      </c>
      <c r="AG100" s="3" t="inlineStr">
        <is>
          <t>sample size not in extraction sheet (Q2 scored 0)</t>
        </is>
      </c>
    </row>
    <row r="101">
      <c r="A101" s="3" t="inlineStr">
        <is>
          <t>B017</t>
        </is>
      </c>
      <c r="B101" s="3" t="inlineStr">
        <is>
          <t>Blockchain</t>
        </is>
      </c>
      <c r="C101" s="3" t="inlineStr">
        <is>
          <t>Theme 4</t>
        </is>
      </c>
      <c r="D101" s="3" t="inlineStr">
        <is>
          <t>Pattanayak et al., 2024</t>
        </is>
      </c>
      <c r="E101" s="3" t="inlineStr">
        <is>
          <t>Cross-industry</t>
        </is>
      </c>
      <c r="F101" s="3" t="inlineStr">
        <is>
          <t>Dynamic Capability View</t>
        </is>
      </c>
      <c r="G101" s="3" t="inlineStr">
        <is>
          <t>Resilience</t>
        </is>
      </c>
      <c r="H101" s="3" t="inlineStr">
        <is>
          <t>Qualitative / case study</t>
        </is>
      </c>
      <c r="I101" s="3" t="n"/>
      <c r="J101" s="4" t="n">
        <v>0</v>
      </c>
      <c r="K101" s="4" t="n">
        <v>0</v>
      </c>
      <c r="L101" s="4" t="n">
        <v>1</v>
      </c>
      <c r="M101" s="4" t="n">
        <v>0</v>
      </c>
      <c r="N101" s="4" t="n">
        <v>1</v>
      </c>
      <c r="O101" s="3">
        <f>IF(COUNT(J101:N101)=0,"",SUM(J101:N101))</f>
        <v/>
      </c>
      <c r="P101" s="3">
        <f>IF(O101="","Not appraised",IF(O101&gt;=Summary!$C$4,"High",IF(O101&gt;=Summary!$C$5,"Moderate","Low")))</f>
        <v/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n">
        <v>0</v>
      </c>
      <c r="AC101" s="4" t="n">
        <v>0</v>
      </c>
      <c r="AD101" s="4" t="n">
        <v>0</v>
      </c>
      <c r="AE101" s="4" t="n">
        <v>0</v>
      </c>
      <c r="AF101" s="3" t="n">
        <v>0</v>
      </c>
      <c r="AG101" s="3" t="inlineStr"/>
    </row>
    <row r="102">
      <c r="A102" s="3" t="inlineStr">
        <is>
          <t>B018</t>
        </is>
      </c>
      <c r="B102" s="3" t="inlineStr">
        <is>
          <t>Blockchain</t>
        </is>
      </c>
      <c r="C102" s="3" t="inlineStr">
        <is>
          <t>Theme 2</t>
        </is>
      </c>
      <c r="D102" s="3" t="inlineStr">
        <is>
          <t>Sudrajat et al., 2023</t>
        </is>
      </c>
      <c r="E102" s="3" t="inlineStr">
        <is>
          <t>Logistics service providers</t>
        </is>
      </c>
      <c r="F102" s="3" t="inlineStr">
        <is>
          <t>Dynamic Capability Theory</t>
        </is>
      </c>
      <c r="G102" s="3" t="inlineStr">
        <is>
          <t>Resilience</t>
        </is>
      </c>
      <c r="H102" s="3" t="inlineStr">
        <is>
          <t>Cross-sectional single-source survey</t>
        </is>
      </c>
      <c r="I102" s="3" t="n">
        <v>60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3">
        <f>IF(COUNT(J102:N102)=0,"",SUM(J102:N102))</f>
        <v/>
      </c>
      <c r="P102" s="3">
        <f>IF(O102="","Not appraised",IF(O102&gt;=Summary!$C$4,"High",IF(O102&gt;=Summary!$C$5,"Moderate","Low")))</f>
        <v/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n">
        <v>1</v>
      </c>
      <c r="AC102" s="4" t="n">
        <v>0</v>
      </c>
      <c r="AD102" s="4" t="n">
        <v>0</v>
      </c>
      <c r="AE102" s="4" t="n">
        <v>0</v>
      </c>
      <c r="AF102" s="3" t="n">
        <v>0</v>
      </c>
      <c r="AG102" s="3" t="inlineStr"/>
    </row>
    <row r="103">
      <c r="A103" s="3" t="inlineStr">
        <is>
          <t>B019</t>
        </is>
      </c>
      <c r="B103" s="3" t="inlineStr">
        <is>
          <t>Blockchain</t>
        </is>
      </c>
      <c r="C103" s="3" t="inlineStr">
        <is>
          <t>Theme 2</t>
        </is>
      </c>
      <c r="D103" s="3" t="inlineStr">
        <is>
          <t>Aslam et al., 2023</t>
        </is>
      </c>
      <c r="E103" s="3" t="inlineStr">
        <is>
          <t>Oil &amp; Gas</t>
        </is>
      </c>
      <c r="F103" s="3" t="inlineStr">
        <is>
          <t>Resource-Based View; Transaction Cost Analysis</t>
        </is>
      </c>
      <c r="G103" s="3" t="inlineStr">
        <is>
          <t>Robustness</t>
        </is>
      </c>
      <c r="H103" s="3" t="inlineStr">
        <is>
          <t>Cross-sectional single-source survey</t>
        </is>
      </c>
      <c r="I103" s="3" t="n">
        <v>353</v>
      </c>
      <c r="J103" s="4" t="n">
        <v>0</v>
      </c>
      <c r="K103" s="4" t="n">
        <v>1</v>
      </c>
      <c r="L103" s="4" t="n">
        <v>0</v>
      </c>
      <c r="M103" s="4" t="n">
        <v>0</v>
      </c>
      <c r="N103" s="4" t="n">
        <v>0</v>
      </c>
      <c r="O103" s="3">
        <f>IF(COUNT(J103:N103)=0,"",SUM(J103:N103))</f>
        <v/>
      </c>
      <c r="P103" s="3">
        <f>IF(O103="","Not appraised",IF(O103&gt;=Summary!$C$4,"High",IF(O103&gt;=Summary!$C$5,"Moderate","Low")))</f>
        <v/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n">
        <v>1</v>
      </c>
      <c r="AC103" s="4" t="n">
        <v>0</v>
      </c>
      <c r="AD103" s="4" t="n">
        <v>0</v>
      </c>
      <c r="AE103" s="4" t="n">
        <v>0</v>
      </c>
      <c r="AF103" s="3" t="n">
        <v>0</v>
      </c>
      <c r="AG103" s="3" t="inlineStr"/>
    </row>
    <row r="104">
      <c r="A104" s="3" t="inlineStr">
        <is>
          <t>B020</t>
        </is>
      </c>
      <c r="B104" s="3" t="inlineStr">
        <is>
          <t>Blockchain</t>
        </is>
      </c>
      <c r="C104" s="3" t="inlineStr">
        <is>
          <t>Theme 4</t>
        </is>
      </c>
      <c r="D104" s="3" t="inlineStr">
        <is>
          <t>Dou, Tan, Chung &amp; Liu, 2025</t>
        </is>
      </c>
      <c r="E104" s="3" t="inlineStr">
        <is>
          <t xml:space="preserve">Manufacturing </t>
        </is>
      </c>
      <c r="F104" s="3" t="inlineStr">
        <is>
          <t>Relational View; Boundary Object Perspective; Supply Chain Resilience Theory</t>
        </is>
      </c>
      <c r="G104" s="3" t="inlineStr">
        <is>
          <t>Adaptability</t>
        </is>
      </c>
      <c r="H104" s="3" t="inlineStr">
        <is>
          <t>Cross-sectional single-source survey</t>
        </is>
      </c>
      <c r="I104" s="3" t="n">
        <v>251</v>
      </c>
      <c r="J104" s="4" t="n">
        <v>0</v>
      </c>
      <c r="K104" s="4" t="n">
        <v>1</v>
      </c>
      <c r="L104" s="4" t="n">
        <v>0</v>
      </c>
      <c r="M104" s="4" t="n">
        <v>0</v>
      </c>
      <c r="N104" s="4" t="n">
        <v>0</v>
      </c>
      <c r="O104" s="3">
        <f>IF(COUNT(J104:N104)=0,"",SUM(J104:N104))</f>
        <v/>
      </c>
      <c r="P104" s="3">
        <f>IF(O104="","Not appraised",IF(O104&gt;=Summary!$C$4,"High",IF(O104&gt;=Summary!$C$5,"Moderate","Low")))</f>
        <v/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1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1</v>
      </c>
      <c r="AB104" s="4" t="n">
        <v>1</v>
      </c>
      <c r="AC104" s="4" t="n">
        <v>1</v>
      </c>
      <c r="AD104" s="4" t="n">
        <v>1</v>
      </c>
      <c r="AE104" s="4" t="n">
        <v>0</v>
      </c>
      <c r="AF104" s="3" t="n">
        <v>1</v>
      </c>
      <c r="AG104" s="3" t="inlineStr"/>
    </row>
    <row r="105">
      <c r="A105" s="3" t="inlineStr">
        <is>
          <t>B021</t>
        </is>
      </c>
      <c r="B105" s="3" t="inlineStr">
        <is>
          <t>Blockchain</t>
        </is>
      </c>
      <c r="C105" s="3" t="inlineStr">
        <is>
          <t>Theme 1</t>
        </is>
      </c>
      <c r="D105" s="3" t="inlineStr">
        <is>
          <t>Yanhong Wu, 2025</t>
        </is>
      </c>
      <c r="E105" s="3" t="inlineStr">
        <is>
          <t>Agriculture</t>
        </is>
      </c>
      <c r="F105" s="3" t="inlineStr">
        <is>
          <t xml:space="preserve">Resource-based theory  and enterprise dynamic capability theory </t>
        </is>
      </c>
      <c r="G105" s="3" t="inlineStr">
        <is>
          <t>Flexibility</t>
        </is>
      </c>
      <c r="H105" s="3" t="inlineStr">
        <is>
          <t>Cross-sectional single-source survey</t>
        </is>
      </c>
      <c r="I105" s="3" t="n">
        <v>603</v>
      </c>
      <c r="J105" s="4" t="n">
        <v>0</v>
      </c>
      <c r="K105" s="4" t="n">
        <v>1</v>
      </c>
      <c r="L105" s="4" t="n">
        <v>0</v>
      </c>
      <c r="M105" s="4" t="n">
        <v>0</v>
      </c>
      <c r="N105" s="4" t="n">
        <v>0</v>
      </c>
      <c r="O105" s="3">
        <f>IF(COUNT(J105:N105)=0,"",SUM(J105:N105))</f>
        <v/>
      </c>
      <c r="P105" s="3">
        <f>IF(O105="","Not appraised",IF(O105&gt;=Summary!$C$4,"High",IF(O105&gt;=Summary!$C$5,"Moderate","Low")))</f>
        <v/>
      </c>
      <c r="Q105" s="4" t="n">
        <v>1</v>
      </c>
      <c r="R105" s="4" t="n">
        <v>1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1</v>
      </c>
      <c r="AB105" s="4" t="n">
        <v>1</v>
      </c>
      <c r="AC105" s="4" t="n">
        <v>0</v>
      </c>
      <c r="AD105" s="4" t="n">
        <v>0</v>
      </c>
      <c r="AE105" s="4" t="n">
        <v>0</v>
      </c>
      <c r="AF105" s="3" t="n">
        <v>0</v>
      </c>
      <c r="AG105" s="3" t="inlineStr"/>
    </row>
    <row r="106">
      <c r="A106" s="3" t="inlineStr">
        <is>
          <t>B022</t>
        </is>
      </c>
      <c r="B106" s="3" t="inlineStr">
        <is>
          <t>Blockchain</t>
        </is>
      </c>
      <c r="C106" s="3" t="inlineStr">
        <is>
          <t>Theme 2</t>
        </is>
      </c>
      <c r="D106" s="3" t="inlineStr">
        <is>
          <t>Li et al., 2022</t>
        </is>
      </c>
      <c r="E106" s="3" t="inlineStr">
        <is>
          <t>Cross-industry</t>
        </is>
      </c>
      <c r="F106" s="3" t="inlineStr">
        <is>
          <t>Dynamic Capability View</t>
        </is>
      </c>
      <c r="G106" s="3" t="inlineStr">
        <is>
          <t>Resilience</t>
        </is>
      </c>
      <c r="H106" s="3" t="inlineStr">
        <is>
          <t>Cross-sectional single-source survey</t>
        </is>
      </c>
      <c r="I106" s="3" t="n">
        <v>262</v>
      </c>
      <c r="J106" s="4" t="n">
        <v>0</v>
      </c>
      <c r="K106" s="4" t="n">
        <v>1</v>
      </c>
      <c r="L106" s="4" t="n">
        <v>0</v>
      </c>
      <c r="M106" s="4" t="n">
        <v>0</v>
      </c>
      <c r="N106" s="4" t="n">
        <v>0</v>
      </c>
      <c r="O106" s="3">
        <f>IF(COUNT(J106:N106)=0,"",SUM(J106:N106))</f>
        <v/>
      </c>
      <c r="P106" s="3">
        <f>IF(O106="","Not appraised",IF(O106&gt;=Summary!$C$4,"High",IF(O106&gt;=Summary!$C$5,"Moderate","Low")))</f>
        <v/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n">
        <v>1</v>
      </c>
      <c r="AC106" s="4" t="n">
        <v>0</v>
      </c>
      <c r="AD106" s="4" t="n">
        <v>0</v>
      </c>
      <c r="AE106" s="4" t="n">
        <v>0</v>
      </c>
      <c r="AF106" s="3" t="n">
        <v>0</v>
      </c>
      <c r="AG106" s="3" t="inlineStr"/>
    </row>
    <row r="107">
      <c r="A107" s="3" t="inlineStr">
        <is>
          <t>B023</t>
        </is>
      </c>
      <c r="B107" s="3" t="inlineStr">
        <is>
          <t>Blockchain</t>
        </is>
      </c>
      <c r="C107" s="3" t="inlineStr">
        <is>
          <t>Theme 1</t>
        </is>
      </c>
      <c r="D107" s="3" t="inlineStr">
        <is>
          <t>Zhang et al., 2025</t>
        </is>
      </c>
      <c r="E107" s="3" t="inlineStr">
        <is>
          <t xml:space="preserve">Manufacturing </t>
        </is>
      </c>
      <c r="F107" s="3" t="inlineStr">
        <is>
          <t>Relational view and Resource orchestration theory</t>
        </is>
      </c>
      <c r="G107" s="3" t="inlineStr">
        <is>
          <t>Adaptability</t>
        </is>
      </c>
      <c r="H107" s="3" t="inlineStr">
        <is>
          <t>Cross-sectional single-source survey</t>
        </is>
      </c>
      <c r="I107" s="3" t="n">
        <v>212</v>
      </c>
      <c r="J107" s="4" t="n">
        <v>0</v>
      </c>
      <c r="K107" s="4" t="n">
        <v>1</v>
      </c>
      <c r="L107" s="4" t="n">
        <v>0</v>
      </c>
      <c r="M107" s="4" t="n">
        <v>0</v>
      </c>
      <c r="N107" s="4" t="n">
        <v>0</v>
      </c>
      <c r="O107" s="3">
        <f>IF(COUNT(J107:N107)=0,"",SUM(J107:N107))</f>
        <v/>
      </c>
      <c r="P107" s="3">
        <f>IF(O107="","Not appraised",IF(O107&gt;=Summary!$C$4,"High",IF(O107&gt;=Summary!$C$5,"Moderate","Low")))</f>
        <v/>
      </c>
      <c r="Q107" s="4" t="n">
        <v>1</v>
      </c>
      <c r="R107" s="4" t="n">
        <v>1</v>
      </c>
      <c r="S107" s="4" t="n">
        <v>0</v>
      </c>
      <c r="T107" s="4" t="n">
        <v>0</v>
      </c>
      <c r="U107" s="4" t="n">
        <v>1</v>
      </c>
      <c r="V107" s="4" t="n">
        <v>0</v>
      </c>
      <c r="W107" s="4" t="n">
        <v>0</v>
      </c>
      <c r="X107" s="4" t="n">
        <v>1</v>
      </c>
      <c r="Y107" s="4" t="n">
        <v>1</v>
      </c>
      <c r="Z107" s="4" t="n">
        <v>0</v>
      </c>
      <c r="AA107" s="4" t="n">
        <v>1</v>
      </c>
      <c r="AB107" s="4" t="n">
        <v>1</v>
      </c>
      <c r="AC107" s="4" t="n">
        <v>0</v>
      </c>
      <c r="AD107" s="4" t="n">
        <v>0</v>
      </c>
      <c r="AE107" s="4" t="n">
        <v>0</v>
      </c>
      <c r="AF107" s="3" t="n">
        <v>0</v>
      </c>
      <c r="AG107" s="3" t="inlineStr"/>
    </row>
    <row r="108">
      <c r="A108" s="3" t="inlineStr">
        <is>
          <t>B024</t>
        </is>
      </c>
      <c r="B108" s="3" t="inlineStr">
        <is>
          <t>Blockchain</t>
        </is>
      </c>
      <c r="C108" s="3" t="inlineStr">
        <is>
          <t>Theme 1</t>
        </is>
      </c>
      <c r="D108" s="3" t="inlineStr">
        <is>
          <t>Ivanov et al., 2023</t>
        </is>
      </c>
      <c r="E108" s="3" t="inlineStr">
        <is>
          <t>Operations &amp; SCM</t>
        </is>
      </c>
      <c r="F108" s="3" t="inlineStr">
        <is>
          <t>Stakeholder theory, Dynamic Capability Theory</t>
        </is>
      </c>
      <c r="G108" s="3" t="inlineStr">
        <is>
          <t>Resilience</t>
        </is>
      </c>
      <c r="H108" s="3" t="inlineStr">
        <is>
          <t>Cross-sectional single-source survey</t>
        </is>
      </c>
      <c r="I108" s="3" t="n"/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3">
        <f>IF(COUNT(J108:N108)=0,"",SUM(J108:N108))</f>
        <v/>
      </c>
      <c r="P108" s="3">
        <f>IF(O108="","Not appraised",IF(O108&gt;=Summary!$C$4,"High",IF(O108&gt;=Summary!$C$5,"Moderate","Low")))</f>
        <v/>
      </c>
      <c r="Q108" s="4" t="n">
        <v>1</v>
      </c>
      <c r="R108" s="4" t="n">
        <v>0</v>
      </c>
      <c r="S108" s="4" t="n">
        <v>0</v>
      </c>
      <c r="T108" s="4" t="n">
        <v>1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1</v>
      </c>
      <c r="Z108" s="4" t="n">
        <v>0</v>
      </c>
      <c r="AA108" s="4" t="n">
        <v>0</v>
      </c>
      <c r="AB108" s="4" t="n">
        <v>1</v>
      </c>
      <c r="AC108" s="4" t="n">
        <v>0</v>
      </c>
      <c r="AD108" s="4" t="n">
        <v>1</v>
      </c>
      <c r="AE108" s="4" t="n">
        <v>0</v>
      </c>
      <c r="AF108" s="3" t="n">
        <v>0</v>
      </c>
      <c r="AG108" s="3" t="inlineStr">
        <is>
          <t>sample size not in extraction sheet (Q2 scored 0)</t>
        </is>
      </c>
    </row>
    <row r="109">
      <c r="A109" s="3" t="inlineStr">
        <is>
          <t>B025</t>
        </is>
      </c>
      <c r="B109" s="3" t="inlineStr">
        <is>
          <t>Blockchain</t>
        </is>
      </c>
      <c r="C109" s="3" t="inlineStr">
        <is>
          <t>Theme 2</t>
        </is>
      </c>
      <c r="D109" s="3" t="inlineStr">
        <is>
          <t>Nandi et al., 2021</t>
        </is>
      </c>
      <c r="E109" s="3" t="inlineStr">
        <is>
          <t>Multi-industry</t>
        </is>
      </c>
      <c r="F109" s="3" t="inlineStr">
        <is>
          <t>Resource-Based View; (Resource dependent theory)</t>
        </is>
      </c>
      <c r="G109" s="3" t="inlineStr">
        <is>
          <t>Agility</t>
        </is>
      </c>
      <c r="H109" s="3" t="inlineStr">
        <is>
          <t>Qualitative / case study</t>
        </is>
      </c>
      <c r="I109" s="3" t="n">
        <v>24</v>
      </c>
      <c r="J109" s="4" t="n">
        <v>0</v>
      </c>
      <c r="K109" s="4" t="n">
        <v>1</v>
      </c>
      <c r="L109" s="4" t="n">
        <v>0</v>
      </c>
      <c r="M109" s="4" t="n">
        <v>0</v>
      </c>
      <c r="N109" s="4" t="n">
        <v>0</v>
      </c>
      <c r="O109" s="3">
        <f>IF(COUNT(J109:N109)=0,"",SUM(J109:N109))</f>
        <v/>
      </c>
      <c r="P109" s="3">
        <f>IF(O109="","Not appraised",IF(O109&gt;=Summary!$C$4,"High",IF(O109&gt;=Summary!$C$5,"Moderate","Low")))</f>
        <v/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1</v>
      </c>
      <c r="AC109" s="4" t="n">
        <v>0</v>
      </c>
      <c r="AD109" s="4" t="n">
        <v>0</v>
      </c>
      <c r="AE109" s="4" t="n">
        <v>0</v>
      </c>
      <c r="AF109" s="3" t="n">
        <v>0</v>
      </c>
      <c r="AG109" s="3" t="inlineStr"/>
    </row>
    <row r="110">
      <c r="A110" s="3" t="inlineStr">
        <is>
          <t>B026</t>
        </is>
      </c>
      <c r="B110" s="3" t="inlineStr">
        <is>
          <t>Blockchain</t>
        </is>
      </c>
      <c r="C110" s="3" t="inlineStr">
        <is>
          <t>Theme 4</t>
        </is>
      </c>
      <c r="D110" s="3" t="inlineStr">
        <is>
          <t>Al-Swidi et al., 2024</t>
        </is>
      </c>
      <c r="E110" s="3" t="inlineStr">
        <is>
          <t>Automotive</t>
        </is>
      </c>
      <c r="F110" s="3" t="inlineStr">
        <is>
          <t>Dynamic Capability &amp; Contingency Theory</t>
        </is>
      </c>
      <c r="G110" s="3" t="inlineStr">
        <is>
          <t>Resilience</t>
        </is>
      </c>
      <c r="H110" s="3" t="inlineStr">
        <is>
          <t>Cross-sectional single-source survey</t>
        </is>
      </c>
      <c r="I110" s="3" t="n"/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3">
        <f>IF(COUNT(J110:N110)=0,"",SUM(J110:N110))</f>
        <v/>
      </c>
      <c r="P110" s="3">
        <f>IF(O110="","Not appraised",IF(O110&gt;=Summary!$C$4,"High",IF(O110&gt;=Summary!$C$5,"Moderate","Low")))</f>
        <v/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n">
        <v>0</v>
      </c>
      <c r="AC110" s="4" t="n">
        <v>0</v>
      </c>
      <c r="AD110" s="4" t="n">
        <v>0</v>
      </c>
      <c r="AE110" s="4" t="n">
        <v>0</v>
      </c>
      <c r="AF110" s="3" t="n">
        <v>0</v>
      </c>
      <c r="AG110" s="3" t="inlineStr">
        <is>
          <t>sample size not in extraction sheet (Q2 scored 0)</t>
        </is>
      </c>
    </row>
    <row r="111">
      <c r="A111" s="3" t="inlineStr">
        <is>
          <t>B027</t>
        </is>
      </c>
      <c r="B111" s="3" t="inlineStr">
        <is>
          <t>Blockchain</t>
        </is>
      </c>
      <c r="C111" s="3" t="inlineStr">
        <is>
          <t>Theme 1</t>
        </is>
      </c>
      <c r="D111" s="3" t="inlineStr">
        <is>
          <t>Fosso Wamba et al., 2020</t>
        </is>
      </c>
      <c r="E111" s="3" t="inlineStr">
        <is>
          <t>Cross-industry</t>
        </is>
      </c>
      <c r="F111" s="3" t="inlineStr">
        <is>
          <t>Technology adoption models; Technology acceptance model</t>
        </is>
      </c>
      <c r="G111" s="3" t="inlineStr">
        <is>
          <t>Risk management</t>
        </is>
      </c>
      <c r="H111" s="3" t="inlineStr">
        <is>
          <t>Cross-sectional single-source survey</t>
        </is>
      </c>
      <c r="I111" s="3" t="n">
        <v>738</v>
      </c>
      <c r="J111" s="4" t="n">
        <v>0</v>
      </c>
      <c r="K111" s="4" t="n">
        <v>1</v>
      </c>
      <c r="L111" s="4" t="n">
        <v>0</v>
      </c>
      <c r="M111" s="4" t="n">
        <v>0</v>
      </c>
      <c r="N111" s="4" t="n">
        <v>0</v>
      </c>
      <c r="O111" s="3">
        <f>IF(COUNT(J111:N111)=0,"",SUM(J111:N111))</f>
        <v/>
      </c>
      <c r="P111" s="3">
        <f>IF(O111="","Not appraised",IF(O111&gt;=Summary!$C$4,"High",IF(O111&gt;=Summary!$C$5,"Moderate","Low")))</f>
        <v/>
      </c>
      <c r="Q111" s="4" t="n">
        <v>1</v>
      </c>
      <c r="R111" s="4" t="n">
        <v>0</v>
      </c>
      <c r="S111" s="4" t="n">
        <v>0</v>
      </c>
      <c r="T111" s="4" t="n">
        <v>1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n">
        <v>0</v>
      </c>
      <c r="AC111" s="4" t="n">
        <v>0</v>
      </c>
      <c r="AD111" s="4" t="n">
        <v>0</v>
      </c>
      <c r="AE111" s="4" t="n">
        <v>0</v>
      </c>
      <c r="AF111" s="3" t="n">
        <v>0</v>
      </c>
      <c r="AG111" s="3" t="inlineStr"/>
    </row>
    <row r="112">
      <c r="A112" s="3" t="inlineStr">
        <is>
          <t>B028</t>
        </is>
      </c>
      <c r="B112" s="3" t="inlineStr">
        <is>
          <t>Blockchain</t>
        </is>
      </c>
      <c r="C112" s="3" t="inlineStr">
        <is>
          <t>Theme 1</t>
        </is>
      </c>
      <c r="D112" s="3" t="inlineStr">
        <is>
          <t>Okanlawon et al., 2025</t>
        </is>
      </c>
      <c r="E112" s="3" t="inlineStr">
        <is>
          <t>Construction</t>
        </is>
      </c>
      <c r="F112" s="3" t="inlineStr">
        <is>
          <t>Technology acceptance model; Diffusion of innovation</t>
        </is>
      </c>
      <c r="G112" s="3" t="inlineStr">
        <is>
          <t>Robustness</t>
        </is>
      </c>
      <c r="H112" s="3" t="inlineStr">
        <is>
          <t>Cross-sectional single-source survey</t>
        </is>
      </c>
      <c r="I112" s="3" t="n"/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3">
        <f>IF(COUNT(J112:N112)=0,"",SUM(J112:N112))</f>
        <v/>
      </c>
      <c r="P112" s="3">
        <f>IF(O112="","Not appraised",IF(O112&gt;=Summary!$C$4,"High",IF(O112&gt;=Summary!$C$5,"Moderate","Low")))</f>
        <v/>
      </c>
      <c r="Q112" s="4" t="n">
        <v>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n">
        <v>0</v>
      </c>
      <c r="AC112" s="4" t="n">
        <v>0</v>
      </c>
      <c r="AD112" s="4" t="n">
        <v>0</v>
      </c>
      <c r="AE112" s="4" t="n">
        <v>0</v>
      </c>
      <c r="AF112" s="3" t="n">
        <v>0</v>
      </c>
      <c r="AG112" s="3" t="inlineStr">
        <is>
          <t>sample size not in extraction sheet (Q2 scored 0)</t>
        </is>
      </c>
    </row>
    <row r="113">
      <c r="A113" s="3" t="inlineStr">
        <is>
          <t>B029</t>
        </is>
      </c>
      <c r="B113" s="3" t="inlineStr">
        <is>
          <t>Blockchain</t>
        </is>
      </c>
      <c r="C113" s="3" t="inlineStr">
        <is>
          <t>Theme 2</t>
        </is>
      </c>
      <c r="D113" s="3" t="inlineStr">
        <is>
          <t>Sheel &amp; Nath, 2019</t>
        </is>
      </c>
      <c r="E113" s="3" t="inlineStr">
        <is>
          <t>Cross-industry</t>
        </is>
      </c>
      <c r="F113" s="3" t="inlineStr">
        <is>
          <t>Resource-Based View; Dynamic capabilities</t>
        </is>
      </c>
      <c r="G113" s="3" t="inlineStr">
        <is>
          <t>Agility</t>
        </is>
      </c>
      <c r="H113" s="3" t="inlineStr">
        <is>
          <t>Cross-sectional single-source survey</t>
        </is>
      </c>
      <c r="I113" s="3" t="n">
        <v>362</v>
      </c>
      <c r="J113" s="4" t="n">
        <v>0</v>
      </c>
      <c r="K113" s="4" t="n">
        <v>1</v>
      </c>
      <c r="L113" s="4" t="n">
        <v>0</v>
      </c>
      <c r="M113" s="4" t="n">
        <v>0</v>
      </c>
      <c r="N113" s="4" t="n">
        <v>0</v>
      </c>
      <c r="O113" s="3">
        <f>IF(COUNT(J113:N113)=0,"",SUM(J113:N113))</f>
        <v/>
      </c>
      <c r="P113" s="3">
        <f>IF(O113="","Not appraised",IF(O113&gt;=Summary!$C$4,"High",IF(O113&gt;=Summary!$C$5,"Moderate","Low")))</f>
        <v/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n">
        <v>1</v>
      </c>
      <c r="AC113" s="4" t="n">
        <v>0</v>
      </c>
      <c r="AD113" s="4" t="n">
        <v>0</v>
      </c>
      <c r="AE113" s="4" t="n">
        <v>0</v>
      </c>
      <c r="AF113" s="3" t="n">
        <v>0</v>
      </c>
      <c r="AG113" s="3" t="inlineStr"/>
    </row>
    <row r="114">
      <c r="A114" s="3" t="inlineStr">
        <is>
          <t>B030</t>
        </is>
      </c>
      <c r="B114" s="3" t="inlineStr">
        <is>
          <t>Blockchain</t>
        </is>
      </c>
      <c r="C114" s="3" t="inlineStr">
        <is>
          <t>Theme 4</t>
        </is>
      </c>
      <c r="D114" s="3" t="inlineStr">
        <is>
          <t>Meafaa et al., 2024</t>
        </is>
      </c>
      <c r="E114" s="3" t="inlineStr">
        <is>
          <t>Manufacturing</t>
        </is>
      </c>
      <c r="F114" s="3" t="inlineStr">
        <is>
          <t>Dynamic Capability View</t>
        </is>
      </c>
      <c r="G114" s="3" t="inlineStr">
        <is>
          <t>Dynamic Capability</t>
        </is>
      </c>
      <c r="H114" s="3" t="inlineStr">
        <is>
          <t>Cross-sectional single-source survey</t>
        </is>
      </c>
      <c r="I114" s="3" t="n">
        <v>193</v>
      </c>
      <c r="J114" s="4" t="n">
        <v>0</v>
      </c>
      <c r="K114" s="4" t="n">
        <v>1</v>
      </c>
      <c r="L114" s="4" t="n">
        <v>0</v>
      </c>
      <c r="M114" s="4" t="n">
        <v>0</v>
      </c>
      <c r="N114" s="4" t="n">
        <v>0</v>
      </c>
      <c r="O114" s="3">
        <f>IF(COUNT(J114:N114)=0,"",SUM(J114:N114))</f>
        <v/>
      </c>
      <c r="P114" s="3">
        <f>IF(O114="","Not appraised",IF(O114&gt;=Summary!$C$4,"High",IF(O114&gt;=Summary!$C$5,"Moderate","Low")))</f>
        <v/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1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n">
        <v>0</v>
      </c>
      <c r="AC114" s="4" t="n">
        <v>0</v>
      </c>
      <c r="AD114" s="4" t="n">
        <v>0</v>
      </c>
      <c r="AE114" s="4" t="n">
        <v>0</v>
      </c>
      <c r="AF114" s="3" t="n">
        <v>0</v>
      </c>
      <c r="AG114" s="3" t="inlineStr"/>
    </row>
    <row r="115">
      <c r="A115" s="3" t="inlineStr">
        <is>
          <t>B031</t>
        </is>
      </c>
      <c r="B115" s="3" t="inlineStr">
        <is>
          <t>Blockchain</t>
        </is>
      </c>
      <c r="C115" s="3" t="inlineStr">
        <is>
          <t>Theme 4</t>
        </is>
      </c>
      <c r="D115" s="3" t="inlineStr">
        <is>
          <t>Alkatheeri, Zamberi Ahmad, 2024</t>
        </is>
      </c>
      <c r="E115" s="3" t="inlineStr">
        <is>
          <t>logistics and SCM</t>
        </is>
      </c>
      <c r="F115" s="3" t="inlineStr">
        <is>
          <t>Not stated</t>
        </is>
      </c>
      <c r="G115" s="3" t="inlineStr">
        <is>
          <t>Readines</t>
        </is>
      </c>
      <c r="H115" s="3" t="inlineStr">
        <is>
          <t>Cross-sectional single-source survey</t>
        </is>
      </c>
      <c r="I115" s="3" t="n">
        <v>500</v>
      </c>
      <c r="J115" s="4" t="n">
        <v>0</v>
      </c>
      <c r="K115" s="4" t="n">
        <v>1</v>
      </c>
      <c r="L115" s="4" t="n">
        <v>0</v>
      </c>
      <c r="M115" s="4" t="n">
        <v>0</v>
      </c>
      <c r="N115" s="4" t="n">
        <v>0</v>
      </c>
      <c r="O115" s="3">
        <f>IF(COUNT(J115:N115)=0,"",SUM(J115:N115))</f>
        <v/>
      </c>
      <c r="P115" s="3">
        <f>IF(O115="","Not appraised",IF(O115&gt;=Summary!$C$4,"High",IF(O115&gt;=Summary!$C$5,"Moderate","Low")))</f>
        <v/>
      </c>
      <c r="Q115" s="4" t="n">
        <v>0</v>
      </c>
      <c r="R115" s="4" t="n">
        <v>0</v>
      </c>
      <c r="S115" s="4" t="n">
        <v>0</v>
      </c>
      <c r="T115" s="4" t="n">
        <v>1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n">
        <v>0</v>
      </c>
      <c r="AC115" s="4" t="n">
        <v>0</v>
      </c>
      <c r="AD115" s="4" t="n">
        <v>1</v>
      </c>
      <c r="AE115" s="4" t="n">
        <v>0</v>
      </c>
      <c r="AF115" s="3" t="n">
        <v>0</v>
      </c>
      <c r="AG115" s="3" t="inlineStr"/>
    </row>
    <row r="116">
      <c r="A116" s="3" t="inlineStr">
        <is>
          <t>B032</t>
        </is>
      </c>
      <c r="B116" s="3" t="inlineStr">
        <is>
          <t>Blockchain</t>
        </is>
      </c>
      <c r="C116" s="3" t="inlineStr">
        <is>
          <t>Theme 1</t>
        </is>
      </c>
      <c r="D116" s="3" t="inlineStr">
        <is>
          <t>Alabaddi:, 2023</t>
        </is>
      </c>
      <c r="E116" s="3" t="inlineStr">
        <is>
          <t>Healthcare</t>
        </is>
      </c>
      <c r="F116" s="3" t="inlineStr">
        <is>
          <t>Organizational Information Processing</t>
        </is>
      </c>
      <c r="G116" s="3" t="inlineStr">
        <is>
          <t>Transparency</t>
        </is>
      </c>
      <c r="H116" s="3" t="inlineStr">
        <is>
          <t>Cross-sectional single-source survey</t>
        </is>
      </c>
      <c r="I116" s="3" t="n">
        <v>215</v>
      </c>
      <c r="J116" s="4" t="n">
        <v>0</v>
      </c>
      <c r="K116" s="4" t="n">
        <v>1</v>
      </c>
      <c r="L116" s="4" t="n">
        <v>0</v>
      </c>
      <c r="M116" s="4" t="n">
        <v>0</v>
      </c>
      <c r="N116" s="4" t="n">
        <v>0</v>
      </c>
      <c r="O116" s="3">
        <f>IF(COUNT(J116:N116)=0,"",SUM(J116:N116))</f>
        <v/>
      </c>
      <c r="P116" s="3">
        <f>IF(O116="","Not appraised",IF(O116&gt;=Summary!$C$4,"High",IF(O116&gt;=Summary!$C$5,"Moderate","Low")))</f>
        <v/>
      </c>
      <c r="Q116" s="4" t="n">
        <v>1</v>
      </c>
      <c r="R116" s="4" t="n">
        <v>1</v>
      </c>
      <c r="S116" s="4" t="n">
        <v>1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n">
        <v>0</v>
      </c>
      <c r="AC116" s="4" t="n">
        <v>0</v>
      </c>
      <c r="AD116" s="4" t="n">
        <v>0</v>
      </c>
      <c r="AE116" s="4" t="n">
        <v>0</v>
      </c>
      <c r="AF116" s="3" t="n">
        <v>0</v>
      </c>
      <c r="AG116" s="3" t="inlineStr"/>
    </row>
    <row r="117">
      <c r="A117" s="3" t="inlineStr">
        <is>
          <t>B033</t>
        </is>
      </c>
      <c r="B117" s="3" t="inlineStr">
        <is>
          <t>Blockchain</t>
        </is>
      </c>
      <c r="C117" s="3" t="inlineStr">
        <is>
          <t>Theme 2</t>
        </is>
      </c>
      <c r="D117" s="3" t="inlineStr">
        <is>
          <t>Tipon Tanchangya, 2026</t>
        </is>
      </c>
      <c r="E117" s="3" t="inlineStr">
        <is>
          <t>Manufacturing</t>
        </is>
      </c>
      <c r="F117" s="3" t="inlineStr">
        <is>
          <t>Resource-based View</t>
        </is>
      </c>
      <c r="G117" s="3" t="inlineStr">
        <is>
          <t>Agility</t>
        </is>
      </c>
      <c r="H117" s="3" t="inlineStr">
        <is>
          <t>Cross-sectional single-source survey</t>
        </is>
      </c>
      <c r="I117" s="3" t="n">
        <v>364</v>
      </c>
      <c r="J117" s="4" t="n">
        <v>0</v>
      </c>
      <c r="K117" s="4" t="n">
        <v>1</v>
      </c>
      <c r="L117" s="4" t="n">
        <v>0</v>
      </c>
      <c r="M117" s="4" t="n">
        <v>0</v>
      </c>
      <c r="N117" s="4" t="n">
        <v>0</v>
      </c>
      <c r="O117" s="3">
        <f>IF(COUNT(J117:N117)=0,"",SUM(J117:N117))</f>
        <v/>
      </c>
      <c r="P117" s="3">
        <f>IF(O117="","Not appraised",IF(O117&gt;=Summary!$C$4,"High",IF(O117&gt;=Summary!$C$5,"Moderate","Low")))</f>
        <v/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1</v>
      </c>
      <c r="Z117" s="4" t="n">
        <v>0</v>
      </c>
      <c r="AA117" s="4" t="n">
        <v>0</v>
      </c>
      <c r="AB117" s="4" t="n">
        <v>1</v>
      </c>
      <c r="AC117" s="4" t="n">
        <v>0</v>
      </c>
      <c r="AD117" s="4" t="n">
        <v>0</v>
      </c>
      <c r="AE117" s="4" t="n">
        <v>0</v>
      </c>
      <c r="AF117" s="3" t="n">
        <v>1</v>
      </c>
      <c r="AG117" s="3" t="inlineStr"/>
    </row>
    <row r="118">
      <c r="A118" s="3" t="inlineStr">
        <is>
          <t>B034</t>
        </is>
      </c>
      <c r="B118" s="3" t="inlineStr">
        <is>
          <t>Blockchain</t>
        </is>
      </c>
      <c r="C118" s="3" t="inlineStr">
        <is>
          <t>Theme 4</t>
        </is>
      </c>
      <c r="D118" s="3" t="inlineStr">
        <is>
          <t>XiLi ,HongdanZhao ,AnkitMehrotra ,RitikaGugnani:, 2025</t>
        </is>
      </c>
      <c r="E118" s="3" t="inlineStr">
        <is>
          <t>FinTech</t>
        </is>
      </c>
      <c r="F118" s="3" t="inlineStr">
        <is>
          <t>Transaction cost economics and goal interdependence theory,</t>
        </is>
      </c>
      <c r="G118" s="3" t="inlineStr">
        <is>
          <t>Adaptability</t>
        </is>
      </c>
      <c r="H118" s="3" t="inlineStr">
        <is>
          <t>Cross-sectional single-source survey</t>
        </is>
      </c>
      <c r="I118" s="3" t="n">
        <v>285</v>
      </c>
      <c r="J118" s="4" t="n">
        <v>0</v>
      </c>
      <c r="K118" s="4" t="n">
        <v>1</v>
      </c>
      <c r="L118" s="4" t="n">
        <v>0</v>
      </c>
      <c r="M118" s="4" t="n">
        <v>0</v>
      </c>
      <c r="N118" s="4" t="n">
        <v>0</v>
      </c>
      <c r="O118" s="3">
        <f>IF(COUNT(J118:N118)=0,"",SUM(J118:N118))</f>
        <v/>
      </c>
      <c r="P118" s="3">
        <f>IF(O118="","Not appraised",IF(O118&gt;=Summary!$C$4,"High",IF(O118&gt;=Summary!$C$5,"Moderate","Low")))</f>
        <v/>
      </c>
      <c r="Q118" s="4" t="n">
        <v>1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1</v>
      </c>
      <c r="AC118" s="4" t="n">
        <v>1</v>
      </c>
      <c r="AD118" s="4" t="n">
        <v>0</v>
      </c>
      <c r="AE118" s="4" t="n">
        <v>0</v>
      </c>
      <c r="AF118" s="3" t="n">
        <v>0</v>
      </c>
      <c r="AG118" s="3" t="inlineStr"/>
    </row>
    <row r="119">
      <c r="A119" s="3" t="inlineStr">
        <is>
          <t>B035</t>
        </is>
      </c>
      <c r="B119" s="3" t="inlineStr">
        <is>
          <t>Blockchain</t>
        </is>
      </c>
      <c r="C119" s="3" t="inlineStr">
        <is>
          <t>Theme 1</t>
        </is>
      </c>
      <c r="D119" s="3" t="inlineStr">
        <is>
          <t>Hong &amp; Hales, 2024</t>
        </is>
      </c>
      <c r="E119" s="3" t="inlineStr">
        <is>
          <t xml:space="preserve">Manufacturing </t>
        </is>
      </c>
      <c r="F119" s="3" t="inlineStr">
        <is>
          <t>Resource-Based View ; Dynamic Capability Theory (DCT); System of Systems (SoS) Theory</t>
        </is>
      </c>
      <c r="G119" s="3" t="inlineStr">
        <is>
          <t>Risk management</t>
        </is>
      </c>
      <c r="H119" s="3" t="inlineStr">
        <is>
          <t>Cross-sectional single-source survey</t>
        </is>
      </c>
      <c r="I119" s="3" t="n">
        <v>204</v>
      </c>
      <c r="J119" s="4" t="n">
        <v>0</v>
      </c>
      <c r="K119" s="4" t="n">
        <v>1</v>
      </c>
      <c r="L119" s="4" t="n">
        <v>0</v>
      </c>
      <c r="M119" s="4" t="n">
        <v>0</v>
      </c>
      <c r="N119" s="4" t="n">
        <v>0</v>
      </c>
      <c r="O119" s="3">
        <f>IF(COUNT(J119:N119)=0,"",SUM(J119:N119))</f>
        <v/>
      </c>
      <c r="P119" s="3">
        <f>IF(O119="","Not appraised",IF(O119&gt;=Summary!$C$4,"High",IF(O119&gt;=Summary!$C$5,"Moderate","Low")))</f>
        <v/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n">
        <v>0</v>
      </c>
      <c r="AC119" s="4" t="n">
        <v>0</v>
      </c>
      <c r="AD119" s="4" t="n">
        <v>0</v>
      </c>
      <c r="AE119" s="4" t="n">
        <v>0</v>
      </c>
      <c r="AF119" s="3" t="n">
        <v>0</v>
      </c>
      <c r="AG119" s="3" t="inlineStr"/>
    </row>
    <row r="120">
      <c r="A120" s="3" t="inlineStr">
        <is>
          <t>B036</t>
        </is>
      </c>
      <c r="B120" s="3" t="inlineStr">
        <is>
          <t>Blockchain</t>
        </is>
      </c>
      <c r="C120" s="3" t="inlineStr">
        <is>
          <t>Theme 1</t>
        </is>
      </c>
      <c r="D120" s="3" t="inlineStr">
        <is>
          <t>Dubey et al., 2023</t>
        </is>
      </c>
      <c r="E120" s="3" t="inlineStr">
        <is>
          <t xml:space="preserve">Humanitarian supply chains </t>
        </is>
      </c>
      <c r="F120" s="3" t="inlineStr">
        <is>
          <t>Dynamic Capability Theory; Information Processing Theory</t>
        </is>
      </c>
      <c r="G120" s="3" t="inlineStr">
        <is>
          <t>Agility</t>
        </is>
      </c>
      <c r="H120" s="3" t="inlineStr">
        <is>
          <t>Cross-sectional single-source survey</t>
        </is>
      </c>
      <c r="I120" s="3" t="n">
        <v>300</v>
      </c>
      <c r="J120" s="4" t="n">
        <v>0</v>
      </c>
      <c r="K120" s="4" t="n">
        <v>1</v>
      </c>
      <c r="L120" s="4" t="n">
        <v>0</v>
      </c>
      <c r="M120" s="4" t="n">
        <v>0</v>
      </c>
      <c r="N120" s="4" t="n">
        <v>0</v>
      </c>
      <c r="O120" s="3">
        <f>IF(COUNT(J120:N120)=0,"",SUM(J120:N120))</f>
        <v/>
      </c>
      <c r="P120" s="3">
        <f>IF(O120="","Not appraised",IF(O120&gt;=Summary!$C$4,"High",IF(O120&gt;=Summary!$C$5,"Moderate","Low")))</f>
        <v/>
      </c>
      <c r="Q120" s="4" t="n">
        <v>1</v>
      </c>
      <c r="R120" s="4" t="n">
        <v>0</v>
      </c>
      <c r="S120" s="4" t="n">
        <v>0</v>
      </c>
      <c r="T120" s="4" t="n">
        <v>1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1</v>
      </c>
      <c r="Z120" s="4" t="n">
        <v>0</v>
      </c>
      <c r="AA120" s="4" t="n">
        <v>1</v>
      </c>
      <c r="AB120" s="4" t="n">
        <v>1</v>
      </c>
      <c r="AC120" s="4" t="n">
        <v>0</v>
      </c>
      <c r="AD120" s="4" t="n">
        <v>0</v>
      </c>
      <c r="AE120" s="4" t="n">
        <v>0</v>
      </c>
      <c r="AF120" s="3" t="n">
        <v>0</v>
      </c>
      <c r="AG120" s="3" t="inlineStr"/>
    </row>
    <row r="121">
      <c r="A121" s="3" t="inlineStr">
        <is>
          <t>B037</t>
        </is>
      </c>
      <c r="B121" s="3" t="inlineStr">
        <is>
          <t>Blockchain</t>
        </is>
      </c>
      <c r="C121" s="3" t="inlineStr">
        <is>
          <t>Theme 4</t>
        </is>
      </c>
      <c r="D121" s="3" t="inlineStr">
        <is>
          <t>Ceptureanu et al., 2025</t>
        </is>
      </c>
      <c r="E121" s="3" t="inlineStr">
        <is>
          <t xml:space="preserve">Manufacturing </t>
        </is>
      </c>
      <c r="F121" s="3" t="inlineStr">
        <is>
          <t>Systems Theory; Change Management Perspective</t>
        </is>
      </c>
      <c r="G121" s="3" t="inlineStr">
        <is>
          <t>Adaptability</t>
        </is>
      </c>
      <c r="H121" s="3" t="inlineStr">
        <is>
          <t>Cross-sectional single-source survey</t>
        </is>
      </c>
      <c r="I121" s="3" t="n">
        <v>197</v>
      </c>
      <c r="J121" s="4" t="n">
        <v>0</v>
      </c>
      <c r="K121" s="4" t="n">
        <v>1</v>
      </c>
      <c r="L121" s="4" t="n">
        <v>0</v>
      </c>
      <c r="M121" s="4" t="n">
        <v>0</v>
      </c>
      <c r="N121" s="4" t="n">
        <v>0</v>
      </c>
      <c r="O121" s="3">
        <f>IF(COUNT(J121:N121)=0,"",SUM(J121:N121))</f>
        <v/>
      </c>
      <c r="P121" s="3">
        <f>IF(O121="","Not appraised",IF(O121&gt;=Summary!$C$4,"High",IF(O121&gt;=Summary!$C$5,"Moderate","Low")))</f>
        <v/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1</v>
      </c>
      <c r="Y121" s="4" t="n">
        <v>0</v>
      </c>
      <c r="Z121" s="4" t="n">
        <v>0</v>
      </c>
      <c r="AA121" s="4" t="n">
        <v>0</v>
      </c>
      <c r="AB121" s="4" t="n">
        <v>1</v>
      </c>
      <c r="AC121" s="4" t="n">
        <v>1</v>
      </c>
      <c r="AD121" s="4" t="n">
        <v>0</v>
      </c>
      <c r="AE121" s="4" t="n">
        <v>0</v>
      </c>
      <c r="AF121" s="3" t="n">
        <v>0</v>
      </c>
      <c r="AG121" s="3" t="inlineStr"/>
    </row>
    <row r="122">
      <c r="A122" s="3" t="inlineStr">
        <is>
          <t>B038</t>
        </is>
      </c>
      <c r="B122" s="3" t="inlineStr">
        <is>
          <t>Blockchain</t>
        </is>
      </c>
      <c r="C122" s="3" t="inlineStr">
        <is>
          <t>Theme 2</t>
        </is>
      </c>
      <c r="D122" s="3" t="inlineStr">
        <is>
          <t>Akhavan &amp; Philsoophian, 2023</t>
        </is>
      </c>
      <c r="E122" s="3" t="inlineStr">
        <is>
          <t xml:space="preserve">Multi-industry </t>
        </is>
      </c>
      <c r="F122" s="3" t="inlineStr">
        <is>
          <t>Resource-Based View; Supply Chain Resilience Theory</t>
        </is>
      </c>
      <c r="G122" s="3" t="inlineStr">
        <is>
          <t>Agility</t>
        </is>
      </c>
      <c r="H122" s="3" t="inlineStr">
        <is>
          <t>Cross-sectional single-source survey</t>
        </is>
      </c>
      <c r="I122" s="3" t="n">
        <v>250</v>
      </c>
      <c r="J122" s="4" t="n">
        <v>0</v>
      </c>
      <c r="K122" s="4" t="n">
        <v>1</v>
      </c>
      <c r="L122" s="4" t="n">
        <v>0</v>
      </c>
      <c r="M122" s="4" t="n">
        <v>0</v>
      </c>
      <c r="N122" s="4" t="n">
        <v>0</v>
      </c>
      <c r="O122" s="3">
        <f>IF(COUNT(J122:N122)=0,"",SUM(J122:N122))</f>
        <v/>
      </c>
      <c r="P122" s="3">
        <f>IF(O122="","Not appraised",IF(O122&gt;=Summary!$C$4,"High",IF(O122&gt;=Summary!$C$5,"Moderate","Low")))</f>
        <v/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1</v>
      </c>
      <c r="AB122" s="4" t="n">
        <v>1</v>
      </c>
      <c r="AC122" s="4" t="n">
        <v>0</v>
      </c>
      <c r="AD122" s="4" t="n">
        <v>0</v>
      </c>
      <c r="AE122" s="4" t="n">
        <v>0</v>
      </c>
      <c r="AF122" s="3" t="n">
        <v>0</v>
      </c>
      <c r="AG122" s="3" t="inlineStr"/>
    </row>
    <row r="123">
      <c r="A123" s="3" t="inlineStr">
        <is>
          <t>B039</t>
        </is>
      </c>
      <c r="B123" s="3" t="inlineStr">
        <is>
          <t>Blockchain</t>
        </is>
      </c>
      <c r="C123" s="3" t="inlineStr">
        <is>
          <t>Theme 1</t>
        </is>
      </c>
      <c r="D123" s="3" t="inlineStr">
        <is>
          <t>Atanu Chaudhuri1,2 ·Manjot Singh Bhatia3·Yasanur Kayikci4·, 2023</t>
        </is>
      </c>
      <c r="E123" s="3" t="inlineStr">
        <is>
          <t xml:space="preserve">Supply chain </t>
        </is>
      </c>
      <c r="F123" s="3" t="inlineStr">
        <is>
          <t>Not stated</t>
        </is>
      </c>
      <c r="G123" s="3" t="inlineStr">
        <is>
          <t>Risk management</t>
        </is>
      </c>
      <c r="H123" s="3" t="inlineStr">
        <is>
          <t>Qualitative / case study</t>
        </is>
      </c>
      <c r="I123" s="3" t="n"/>
      <c r="J123" s="4" t="n">
        <v>1</v>
      </c>
      <c r="K123" s="4" t="n">
        <v>1</v>
      </c>
      <c r="L123" s="4" t="n">
        <v>0</v>
      </c>
      <c r="M123" s="4" t="n">
        <v>0</v>
      </c>
      <c r="N123" s="4" t="n">
        <v>1</v>
      </c>
      <c r="O123" s="3">
        <f>IF(COUNT(J123:N123)=0,"",SUM(J123:N123))</f>
        <v/>
      </c>
      <c r="P123" s="3">
        <f>IF(O123="","Not appraised",IF(O123&gt;=Summary!$C$4,"High",IF(O123&gt;=Summary!$C$5,"Moderate","Low")))</f>
        <v/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 t="n">
        <v>0</v>
      </c>
      <c r="AC123" s="4" t="n">
        <v>0</v>
      </c>
      <c r="AD123" s="4" t="n">
        <v>0</v>
      </c>
      <c r="AE123" s="4" t="n">
        <v>0</v>
      </c>
      <c r="AF123" s="3" t="n">
        <v>0</v>
      </c>
      <c r="AG123" s="3" t="inlineStr"/>
    </row>
    <row r="124">
      <c r="A124" s="3" t="inlineStr">
        <is>
          <t>B040</t>
        </is>
      </c>
      <c r="B124" s="3" t="inlineStr">
        <is>
          <t>Blockchain</t>
        </is>
      </c>
      <c r="C124" s="3" t="inlineStr">
        <is>
          <t>Theme 4</t>
        </is>
      </c>
      <c r="D124" s="3" t="inlineStr">
        <is>
          <t>Shivam Gupta, 2023</t>
        </is>
      </c>
      <c r="E124" s="3" t="inlineStr">
        <is>
          <t xml:space="preserve">Supply chains </t>
        </is>
      </c>
      <c r="F124" s="3" t="inlineStr">
        <is>
          <t>Dynamic technological capability view</t>
        </is>
      </c>
      <c r="G124" s="3" t="inlineStr">
        <is>
          <t>Resilience</t>
        </is>
      </c>
      <c r="H124" s="3" t="inlineStr">
        <is>
          <t>Mixed / multi-source</t>
        </is>
      </c>
      <c r="I124" s="3" t="n">
        <v>202</v>
      </c>
      <c r="J124" s="4" t="n">
        <v>1</v>
      </c>
      <c r="K124" s="4" t="n">
        <v>1</v>
      </c>
      <c r="L124" s="4" t="n">
        <v>0</v>
      </c>
      <c r="M124" s="4" t="n">
        <v>1</v>
      </c>
      <c r="N124" s="4" t="n">
        <v>0</v>
      </c>
      <c r="O124" s="3">
        <f>IF(COUNT(J124:N124)=0,"",SUM(J124:N124))</f>
        <v/>
      </c>
      <c r="P124" s="3">
        <f>IF(O124="","Not appraised",IF(O124&gt;=Summary!$C$4,"High",IF(O124&gt;=Summary!$C$5,"Moderate","Low")))</f>
        <v/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1</v>
      </c>
      <c r="W124" s="4" t="n">
        <v>0</v>
      </c>
      <c r="X124" s="4" t="n">
        <v>1</v>
      </c>
      <c r="Y124" s="4" t="n">
        <v>0</v>
      </c>
      <c r="Z124" s="4" t="n">
        <v>0</v>
      </c>
      <c r="AA124" s="4" t="n">
        <v>0</v>
      </c>
      <c r="AB124" s="4" t="n">
        <v>0</v>
      </c>
      <c r="AC124" s="4" t="n">
        <v>0</v>
      </c>
      <c r="AD124" s="4" t="n">
        <v>0</v>
      </c>
      <c r="AE124" s="4" t="n">
        <v>0</v>
      </c>
      <c r="AF124" s="3" t="n">
        <v>0</v>
      </c>
      <c r="AG124" s="3" t="inlineStr"/>
    </row>
    <row r="125">
      <c r="A125" s="3" t="inlineStr">
        <is>
          <t>B041</t>
        </is>
      </c>
      <c r="B125" s="3" t="inlineStr">
        <is>
          <t>Blockchain</t>
        </is>
      </c>
      <c r="C125" s="3" t="inlineStr">
        <is>
          <t>Theme 4</t>
        </is>
      </c>
      <c r="D125" s="3" t="inlineStr">
        <is>
          <t>Dennis Amoako Kwatia; Andrews Kyeremeh; Francis Kamewor Tetteh; Hanson Obiri-Yeboah, 2025</t>
        </is>
      </c>
      <c r="E125" s="3" t="inlineStr">
        <is>
          <t xml:space="preserve">Healthcare </t>
        </is>
      </c>
      <c r="F125" s="3" t="inlineStr">
        <is>
          <t xml:space="preserve">Dynamic Capabilities Theory (explicit); Resource-Based View </t>
        </is>
      </c>
      <c r="G125" s="3" t="inlineStr">
        <is>
          <t>Recovery</t>
        </is>
      </c>
      <c r="H125" s="3" t="inlineStr">
        <is>
          <t>Cross-sectional single-source survey</t>
        </is>
      </c>
      <c r="I125" s="3" t="n">
        <v>374</v>
      </c>
      <c r="J125" s="4" t="n">
        <v>0</v>
      </c>
      <c r="K125" s="4" t="n">
        <v>1</v>
      </c>
      <c r="L125" s="4" t="n">
        <v>0</v>
      </c>
      <c r="M125" s="4" t="n">
        <v>0</v>
      </c>
      <c r="N125" s="4" t="n">
        <v>0</v>
      </c>
      <c r="O125" s="3">
        <f>IF(COUNT(J125:N125)=0,"",SUM(J125:N125))</f>
        <v/>
      </c>
      <c r="P125" s="3">
        <f>IF(O125="","Not appraised",IF(O125&gt;=Summary!$C$4,"High",IF(O125&gt;=Summary!$C$5,"Moderate","Low")))</f>
        <v/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 t="n">
        <v>0</v>
      </c>
      <c r="AC125" s="4" t="n">
        <v>1</v>
      </c>
      <c r="AD125" s="4" t="n">
        <v>0</v>
      </c>
      <c r="AE125" s="4" t="n">
        <v>1</v>
      </c>
      <c r="AF125" s="3" t="n">
        <v>0</v>
      </c>
      <c r="AG125" s="3" t="inlineStr"/>
    </row>
    <row r="126">
      <c r="A126" s="3" t="inlineStr">
        <is>
          <t>B042</t>
        </is>
      </c>
      <c r="B126" s="3" t="inlineStr">
        <is>
          <t>Blockchain</t>
        </is>
      </c>
      <c r="C126" s="3" t="inlineStr">
        <is>
          <t>Theme 4</t>
        </is>
      </c>
      <c r="D126" s="3" t="inlineStr">
        <is>
          <t>Zelbst; Yang; Green; Sower, 2024</t>
        </is>
      </c>
      <c r="E126" s="3" t="inlineStr">
        <is>
          <t xml:space="preserve">Manufacturing </t>
        </is>
      </c>
      <c r="F126" s="3" t="inlineStr">
        <is>
          <t>Systems lens / technology-performance framing</t>
        </is>
      </c>
      <c r="G126" s="3" t="inlineStr">
        <is>
          <t>Risk management</t>
        </is>
      </c>
      <c r="H126" s="3" t="inlineStr">
        <is>
          <t>Cross-sectional single-source survey</t>
        </is>
      </c>
      <c r="I126" s="3" t="n">
        <v>303</v>
      </c>
      <c r="J126" s="4" t="n">
        <v>0</v>
      </c>
      <c r="K126" s="4" t="n">
        <v>1</v>
      </c>
      <c r="L126" s="4" t="n">
        <v>0</v>
      </c>
      <c r="M126" s="4" t="n">
        <v>0</v>
      </c>
      <c r="N126" s="4" t="n">
        <v>0</v>
      </c>
      <c r="O126" s="3">
        <f>IF(COUNT(J126:N126)=0,"",SUM(J126:N126))</f>
        <v/>
      </c>
      <c r="P126" s="3">
        <f>IF(O126="","Not appraised",IF(O126&gt;=Summary!$C$4,"High",IF(O126&gt;=Summary!$C$5,"Moderate","Low")))</f>
        <v/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n">
        <v>0</v>
      </c>
      <c r="AC126" s="4" t="n">
        <v>0</v>
      </c>
      <c r="AD126" s="4" t="n">
        <v>0</v>
      </c>
      <c r="AE126" s="4" t="n">
        <v>0</v>
      </c>
      <c r="AF126" s="3" t="n">
        <v>0</v>
      </c>
      <c r="AG126" s="3" t="inlineStr"/>
    </row>
    <row r="127">
      <c r="A127" s="3" t="inlineStr">
        <is>
          <t>B043</t>
        </is>
      </c>
      <c r="B127" s="3" t="inlineStr">
        <is>
          <t>Blockchain</t>
        </is>
      </c>
      <c r="C127" s="3" t="inlineStr">
        <is>
          <t>Theme 4</t>
        </is>
      </c>
      <c r="D127" s="3" t="inlineStr">
        <is>
          <t>Chen; Zhang; Lyu; Ding; Chen; Song, 2025</t>
        </is>
      </c>
      <c r="E127" s="3" t="inlineStr">
        <is>
          <t xml:space="preserve">Agriculture </t>
        </is>
      </c>
      <c r="F127" s="3" t="inlineStr">
        <is>
          <t>Organizational Information Processing</t>
        </is>
      </c>
      <c r="G127" s="3" t="inlineStr">
        <is>
          <t>Resilience</t>
        </is>
      </c>
      <c r="H127" s="3" t="inlineStr">
        <is>
          <t>Mixed / multi-source</t>
        </is>
      </c>
      <c r="I127" s="3" t="n"/>
      <c r="J127" s="4" t="n">
        <v>1</v>
      </c>
      <c r="K127" s="4" t="n">
        <v>0</v>
      </c>
      <c r="L127" s="4" t="n">
        <v>0</v>
      </c>
      <c r="M127" s="4" t="n">
        <v>1</v>
      </c>
      <c r="N127" s="4" t="n">
        <v>0</v>
      </c>
      <c r="O127" s="3">
        <f>IF(COUNT(J127:N127)=0,"",SUM(J127:N127))</f>
        <v/>
      </c>
      <c r="P127" s="3">
        <f>IF(O127="","Not appraised",IF(O127&gt;=Summary!$C$4,"High",IF(O127&gt;=Summary!$C$5,"Moderate","Low")))</f>
        <v/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3" t="n">
        <v>0</v>
      </c>
      <c r="AG127" s="3" t="inlineStr">
        <is>
          <t>sample size not in extraction sheet (Q2 scored 0)</t>
        </is>
      </c>
    </row>
    <row r="128">
      <c r="A128" s="3" t="inlineStr">
        <is>
          <t>B044</t>
        </is>
      </c>
      <c r="B128" s="3" t="inlineStr">
        <is>
          <t>Blockchain</t>
        </is>
      </c>
      <c r="C128" s="3" t="inlineStr">
        <is>
          <t>Theme 3</t>
        </is>
      </c>
      <c r="D128" s="3" t="inlineStr">
        <is>
          <t>Guoli Pu and Weiting Qiao, 2024</t>
        </is>
      </c>
      <c r="E128" s="3" t="inlineStr">
        <is>
          <t xml:space="preserve">Manufacturing </t>
        </is>
      </c>
      <c r="F128" s="3" t="inlineStr">
        <is>
          <t>Relational Exchange Theory; Governance Theory; Supply Chain Resilience Theory</t>
        </is>
      </c>
      <c r="G128" s="3" t="inlineStr">
        <is>
          <t>Adaptability</t>
        </is>
      </c>
      <c r="H128" s="3" t="inlineStr">
        <is>
          <t>Cross-sectional single-source survey</t>
        </is>
      </c>
      <c r="I128" s="3" t="n">
        <v>300</v>
      </c>
      <c r="J128" s="4" t="n">
        <v>0</v>
      </c>
      <c r="K128" s="4" t="n">
        <v>1</v>
      </c>
      <c r="L128" s="4" t="n">
        <v>0</v>
      </c>
      <c r="M128" s="4" t="n">
        <v>0</v>
      </c>
      <c r="N128" s="4" t="n">
        <v>0</v>
      </c>
      <c r="O128" s="3">
        <f>IF(COUNT(J128:N128)=0,"",SUM(J128:N128))</f>
        <v/>
      </c>
      <c r="P128" s="3">
        <f>IF(O128="","Not appraised",IF(O128&gt;=Summary!$C$4,"High",IF(O128&gt;=Summary!$C$5,"Moderate","Low")))</f>
        <v/>
      </c>
      <c r="Q128" s="4" t="n">
        <v>1</v>
      </c>
      <c r="R128" s="4" t="n">
        <v>0</v>
      </c>
      <c r="S128" s="4" t="n">
        <v>0</v>
      </c>
      <c r="T128" s="4" t="n">
        <v>1</v>
      </c>
      <c r="U128" s="4" t="n">
        <v>1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1</v>
      </c>
      <c r="AB128" s="4" t="n">
        <v>1</v>
      </c>
      <c r="AC128" s="4" t="n">
        <v>1</v>
      </c>
      <c r="AD128" s="4" t="n">
        <v>0</v>
      </c>
      <c r="AE128" s="4" t="n">
        <v>0</v>
      </c>
      <c r="AF128" s="3" t="n">
        <v>1</v>
      </c>
      <c r="AG128" s="3" t="inlineStr"/>
    </row>
    <row r="129">
      <c r="A129" s="3" t="inlineStr">
        <is>
          <t>B045</t>
        </is>
      </c>
      <c r="B129" s="3" t="inlineStr">
        <is>
          <t>Blockchain</t>
        </is>
      </c>
      <c r="C129" s="3" t="inlineStr">
        <is>
          <t>Theme 1</t>
        </is>
      </c>
      <c r="D129" s="3" t="inlineStr">
        <is>
          <t>Nikzadipanah, Rahdar &amp; Bandani, 2024</t>
        </is>
      </c>
      <c r="E129" s="3" t="inlineStr">
        <is>
          <t xml:space="preserve">Pharmaceutical </t>
        </is>
      </c>
      <c r="F129" s="3" t="inlineStr">
        <is>
          <t>Organizational Information Processing Theory (OIPT)</t>
        </is>
      </c>
      <c r="G129" s="3" t="inlineStr">
        <is>
          <t>Transparency</t>
        </is>
      </c>
      <c r="H129" s="3" t="inlineStr">
        <is>
          <t>Cross-sectional single-source survey</t>
        </is>
      </c>
      <c r="I129" s="3" t="n">
        <v>215</v>
      </c>
      <c r="J129" s="4" t="n">
        <v>0</v>
      </c>
      <c r="K129" s="4" t="n">
        <v>1</v>
      </c>
      <c r="L129" s="4" t="n">
        <v>0</v>
      </c>
      <c r="M129" s="4" t="n">
        <v>0</v>
      </c>
      <c r="N129" s="4" t="n">
        <v>0</v>
      </c>
      <c r="O129" s="3">
        <f>IF(COUNT(J129:N129)=0,"",SUM(J129:N129))</f>
        <v/>
      </c>
      <c r="P129" s="3">
        <f>IF(O129="","Not appraised",IF(O129&gt;=Summary!$C$4,"High",IF(O129&gt;=Summary!$C$5,"Moderate","Low")))</f>
        <v/>
      </c>
      <c r="Q129" s="4" t="n">
        <v>1</v>
      </c>
      <c r="R129" s="4" t="n">
        <v>1</v>
      </c>
      <c r="S129" s="4" t="n">
        <v>1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 t="n">
        <v>0</v>
      </c>
      <c r="AC129" s="4" t="n">
        <v>0</v>
      </c>
      <c r="AD129" s="4" t="n">
        <v>0</v>
      </c>
      <c r="AE129" s="4" t="n">
        <v>0</v>
      </c>
      <c r="AF129" s="3" t="n">
        <v>0</v>
      </c>
      <c r="AG129" s="3" t="inlineStr"/>
    </row>
    <row r="130">
      <c r="A130" s="3" t="inlineStr">
        <is>
          <t>B046</t>
        </is>
      </c>
      <c r="B130" s="3" t="inlineStr">
        <is>
          <t>Blockchain</t>
        </is>
      </c>
      <c r="C130" s="3" t="inlineStr">
        <is>
          <t>Theme 2</t>
        </is>
      </c>
      <c r="D130" s="3" t="inlineStr">
        <is>
          <t>Sagar, Macchion &amp; Fornasiero, 2025</t>
        </is>
      </c>
      <c r="E130" s="3" t="inlineStr">
        <is>
          <t xml:space="preserve">Fashion / Textile </t>
        </is>
      </c>
      <c r="F130" s="3" t="inlineStr">
        <is>
          <t>Dynamic Capabilities Theory; Information Processing Theory; Stakeholder Theory</t>
        </is>
      </c>
      <c r="G130" s="3" t="inlineStr">
        <is>
          <t>Agility</t>
        </is>
      </c>
      <c r="H130" s="3" t="inlineStr">
        <is>
          <t>Cross-sectional single-source survey</t>
        </is>
      </c>
      <c r="I130" s="3" t="n">
        <v>190</v>
      </c>
      <c r="J130" s="4" t="n">
        <v>0</v>
      </c>
      <c r="K130" s="4" t="n">
        <v>1</v>
      </c>
      <c r="L130" s="4" t="n">
        <v>0</v>
      </c>
      <c r="M130" s="4" t="n">
        <v>0</v>
      </c>
      <c r="N130" s="4" t="n">
        <v>0</v>
      </c>
      <c r="O130" s="3">
        <f>IF(COUNT(J130:N130)=0,"",SUM(J130:N130))</f>
        <v/>
      </c>
      <c r="P130" s="3">
        <f>IF(O130="","Not appraised",IF(O130&gt;=Summary!$C$4,"High",IF(O130&gt;=Summary!$C$5,"Moderate","Low")))</f>
        <v/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1</v>
      </c>
      <c r="Z130" s="4" t="n">
        <v>0</v>
      </c>
      <c r="AA130" s="4" t="n">
        <v>1</v>
      </c>
      <c r="AB130" s="4" t="n">
        <v>1</v>
      </c>
      <c r="AC130" s="4" t="n">
        <v>0</v>
      </c>
      <c r="AD130" s="4" t="n">
        <v>0</v>
      </c>
      <c r="AE130" s="4" t="n">
        <v>0</v>
      </c>
      <c r="AF130" s="3" t="n">
        <v>1</v>
      </c>
      <c r="AG130" s="3" t="inlineStr"/>
    </row>
    <row r="131">
      <c r="A131" s="3" t="inlineStr">
        <is>
          <t>B047</t>
        </is>
      </c>
      <c r="B131" s="3" t="inlineStr">
        <is>
          <t>Blockchain</t>
        </is>
      </c>
      <c r="C131" s="3" t="inlineStr">
        <is>
          <t>Theme 3</t>
        </is>
      </c>
      <c r="D131" s="3" t="inlineStr">
        <is>
          <t>TejasPotnis1,Yui-yipLau2,* andTszLeungYip1, 2024</t>
        </is>
      </c>
      <c r="E131" s="3" t="inlineStr">
        <is>
          <t>General supply chains</t>
        </is>
      </c>
      <c r="F131" s="3" t="inlineStr">
        <is>
          <t>Dynamic Capabilities Theory; Supply Chain Resilience Theory</t>
        </is>
      </c>
      <c r="G131" s="3" t="inlineStr">
        <is>
          <t>Flexibility</t>
        </is>
      </c>
      <c r="H131" s="3" t="inlineStr">
        <is>
          <t>Mixed / multi-source</t>
        </is>
      </c>
      <c r="I131" s="3" t="n">
        <v>112</v>
      </c>
      <c r="J131" s="4" t="n">
        <v>1</v>
      </c>
      <c r="K131" s="4" t="n">
        <v>0</v>
      </c>
      <c r="L131" s="4" t="n">
        <v>0</v>
      </c>
      <c r="M131" s="4" t="n">
        <v>1</v>
      </c>
      <c r="N131" s="4" t="n">
        <v>0</v>
      </c>
      <c r="O131" s="3">
        <f>IF(COUNT(J131:N131)=0,"",SUM(J131:N131))</f>
        <v/>
      </c>
      <c r="P131" s="3">
        <f>IF(O131="","Not appraised",IF(O131&gt;=Summary!$C$4,"High",IF(O131&gt;=Summary!$C$5,"Moderate","Low")))</f>
        <v/>
      </c>
      <c r="Q131" s="4" t="n">
        <v>0</v>
      </c>
      <c r="R131" s="4" t="n">
        <v>0</v>
      </c>
      <c r="S131" s="4" t="n">
        <v>0</v>
      </c>
      <c r="T131" s="4" t="n">
        <v>1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1</v>
      </c>
      <c r="Z131" s="4" t="n">
        <v>0</v>
      </c>
      <c r="AA131" s="4" t="n">
        <v>1</v>
      </c>
      <c r="AB131" s="4" t="n">
        <v>1</v>
      </c>
      <c r="AC131" s="4" t="n">
        <v>0</v>
      </c>
      <c r="AD131" s="4" t="n">
        <v>0</v>
      </c>
      <c r="AE131" s="4" t="n">
        <v>0</v>
      </c>
      <c r="AF131" s="3" t="n">
        <v>0</v>
      </c>
      <c r="AG131" s="3" t="inlineStr"/>
    </row>
    <row r="132">
      <c r="A132" s="3" t="inlineStr">
        <is>
          <t>B048</t>
        </is>
      </c>
      <c r="B132" s="3" t="inlineStr">
        <is>
          <t>Blockchain</t>
        </is>
      </c>
      <c r="C132" s="3" t="inlineStr">
        <is>
          <t>Theme 1</t>
        </is>
      </c>
      <c r="D132" s="3" t="inlineStr">
        <is>
          <t>Wang, Mamun, Masukujjaman &amp; Yang, 2025</t>
        </is>
      </c>
      <c r="E132" s="3" t="inlineStr">
        <is>
          <t>Logistics firms</t>
        </is>
      </c>
      <c r="F132" s="3" t="inlineStr">
        <is>
          <t>Dynamic Capabilities Theory; Transaction Cost Economics; Supply Chain Resilience Theory</t>
        </is>
      </c>
      <c r="G132" s="3" t="inlineStr">
        <is>
          <t>Resilience</t>
        </is>
      </c>
      <c r="H132" s="3" t="inlineStr">
        <is>
          <t>Cross-sectional single-source survey</t>
        </is>
      </c>
      <c r="I132" s="3" t="n">
        <v>387</v>
      </c>
      <c r="J132" s="4" t="n">
        <v>0</v>
      </c>
      <c r="K132" s="4" t="n">
        <v>1</v>
      </c>
      <c r="L132" s="4" t="n">
        <v>0</v>
      </c>
      <c r="M132" s="4" t="n">
        <v>0</v>
      </c>
      <c r="N132" s="4" t="n">
        <v>0</v>
      </c>
      <c r="O132" s="3">
        <f>IF(COUNT(J132:N132)=0,"",SUM(J132:N132))</f>
        <v/>
      </c>
      <c r="P132" s="3">
        <f>IF(O132="","Not appraised",IF(O132&gt;=Summary!$C$4,"High",IF(O132&gt;=Summary!$C$5,"Moderate","Low")))</f>
        <v/>
      </c>
      <c r="Q132" s="4" t="n">
        <v>1</v>
      </c>
      <c r="R132" s="4" t="n">
        <v>1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 t="n">
        <v>0</v>
      </c>
      <c r="AC132" s="4" t="n">
        <v>0</v>
      </c>
      <c r="AD132" s="4" t="n">
        <v>0</v>
      </c>
      <c r="AE132" s="4" t="n">
        <v>0</v>
      </c>
      <c r="AF132" s="3" t="n">
        <v>0</v>
      </c>
      <c r="AG132" s="3" t="inlineStr"/>
    </row>
    <row r="133">
      <c r="A133" s="3" t="inlineStr">
        <is>
          <t>B049</t>
        </is>
      </c>
      <c r="B133" s="3" t="inlineStr">
        <is>
          <t>Blockchain</t>
        </is>
      </c>
      <c r="C133" s="3" t="inlineStr">
        <is>
          <t>Theme 4</t>
        </is>
      </c>
      <c r="D133" s="3" t="inlineStr">
        <is>
          <t>Lin Wang, Yu Zenga, Yongshun Xub,* , Ming Chic, Haitao Wud, 2025</t>
        </is>
      </c>
      <c r="E133" s="3" t="inlineStr">
        <is>
          <t>Construction supply chain</t>
        </is>
      </c>
      <c r="F133" s="3" t="inlineStr">
        <is>
          <t>Organizational Information Processing Theory; Dynamic Capabilities Theory</t>
        </is>
      </c>
      <c r="G133" s="3" t="inlineStr">
        <is>
          <t>Adaptability</t>
        </is>
      </c>
      <c r="H133" s="3" t="inlineStr">
        <is>
          <t>Cross-sectional single-source survey</t>
        </is>
      </c>
      <c r="I133" s="3" t="n">
        <v>310</v>
      </c>
      <c r="J133" s="4" t="n">
        <v>0</v>
      </c>
      <c r="K133" s="4" t="n">
        <v>1</v>
      </c>
      <c r="L133" s="4" t="n">
        <v>0</v>
      </c>
      <c r="M133" s="4" t="n">
        <v>0</v>
      </c>
      <c r="N133" s="4" t="n">
        <v>0</v>
      </c>
      <c r="O133" s="3">
        <f>IF(COUNT(J133:N133)=0,"",SUM(J133:N133))</f>
        <v/>
      </c>
      <c r="P133" s="3">
        <f>IF(O133="","Not appraised",IF(O133&gt;=Summary!$C$4,"High",IF(O133&gt;=Summary!$C$5,"Moderate","Low")))</f>
        <v/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 t="n">
        <v>1</v>
      </c>
      <c r="AC133" s="4" t="n">
        <v>1</v>
      </c>
      <c r="AD133" s="4" t="n">
        <v>0</v>
      </c>
      <c r="AE133" s="4" t="n">
        <v>1</v>
      </c>
      <c r="AF133" s="3" t="n">
        <v>0</v>
      </c>
      <c r="AG133" s="3" t="inlineStr"/>
    </row>
    <row r="134">
      <c r="A134" s="3" t="inlineStr">
        <is>
          <t>B050</t>
        </is>
      </c>
      <c r="B134" s="3" t="inlineStr">
        <is>
          <t>Blockchain</t>
        </is>
      </c>
      <c r="C134" s="3" t="inlineStr">
        <is>
          <t>Theme 1</t>
        </is>
      </c>
      <c r="D134" s="3" t="inlineStr">
        <is>
          <t xml:space="preserve">Pengfei Chen , Xue Lei , Ouwen Lin , Yanzhe Yuan </t>
        </is>
      </c>
      <c r="E134" s="3" t="inlineStr">
        <is>
          <t>General supply chains</t>
        </is>
      </c>
      <c r="F134" s="3" t="inlineStr">
        <is>
          <t>Systems Theory; Transaction Cost Economics</t>
        </is>
      </c>
      <c r="G134" s="3" t="inlineStr">
        <is>
          <t>Robustness</t>
        </is>
      </c>
      <c r="H134" s="3" t="inlineStr">
        <is>
          <t>Cross-sectional single-source survey</t>
        </is>
      </c>
      <c r="I134" s="3" t="n"/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3">
        <f>IF(COUNT(J134:N134)=0,"",SUM(J134:N134))</f>
        <v/>
      </c>
      <c r="P134" s="3">
        <f>IF(O134="","Not appraised",IF(O134&gt;=Summary!$C$4,"High",IF(O134&gt;=Summary!$C$5,"Moderate","Low")))</f>
        <v/>
      </c>
      <c r="Q134" s="4" t="n">
        <v>1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1</v>
      </c>
      <c r="AB134" s="4" t="n">
        <v>0</v>
      </c>
      <c r="AC134" s="4" t="n">
        <v>0</v>
      </c>
      <c r="AD134" s="4" t="n">
        <v>1</v>
      </c>
      <c r="AE134" s="4" t="n">
        <v>0</v>
      </c>
      <c r="AF134" s="3" t="n">
        <v>0</v>
      </c>
      <c r="AG134" s="3" t="inlineStr">
        <is>
          <t>sample size not in extraction sheet (Q2 scored 0)</t>
        </is>
      </c>
    </row>
    <row r="135">
      <c r="A135" s="3" t="inlineStr">
        <is>
          <t>B051</t>
        </is>
      </c>
      <c r="B135" s="3" t="inlineStr">
        <is>
          <t>Blockchain</t>
        </is>
      </c>
      <c r="C135" s="3" t="inlineStr">
        <is>
          <t>Theme 1</t>
        </is>
      </c>
      <c r="D135" s="3" t="inlineStr">
        <is>
          <t>Paul, Mondal, Islam &amp; Rakshit, 2021</t>
        </is>
      </c>
      <c r="E135" s="3" t="inlineStr">
        <is>
          <t>Tea / Agricultural supply chain</t>
        </is>
      </c>
      <c r="F135" s="3" t="inlineStr">
        <is>
          <t>Resource-Based View; Network Theory</t>
        </is>
      </c>
      <c r="G135" s="3" t="inlineStr">
        <is>
          <t>Transparency</t>
        </is>
      </c>
      <c r="H135" s="3" t="inlineStr">
        <is>
          <t>Cross-sectional single-source survey</t>
        </is>
      </c>
      <c r="I135" s="3" t="n">
        <v>305</v>
      </c>
      <c r="J135" s="4" t="n">
        <v>0</v>
      </c>
      <c r="K135" s="4" t="n">
        <v>1</v>
      </c>
      <c r="L135" s="4" t="n">
        <v>0</v>
      </c>
      <c r="M135" s="4" t="n">
        <v>0</v>
      </c>
      <c r="N135" s="4" t="n">
        <v>0</v>
      </c>
      <c r="O135" s="3">
        <f>IF(COUNT(J135:N135)=0,"",SUM(J135:N135))</f>
        <v/>
      </c>
      <c r="P135" s="3">
        <f>IF(O135="","Not appraised",IF(O135&gt;=Summary!$C$4,"High",IF(O135&gt;=Summary!$C$5,"Moderate","Low")))</f>
        <v/>
      </c>
      <c r="Q135" s="4" t="n">
        <v>1</v>
      </c>
      <c r="R135" s="4" t="n">
        <v>1</v>
      </c>
      <c r="S135" s="4" t="n">
        <v>0</v>
      </c>
      <c r="T135" s="4" t="n">
        <v>0</v>
      </c>
      <c r="U135" s="4" t="n">
        <v>1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1</v>
      </c>
      <c r="AB135" s="4" t="n">
        <v>0</v>
      </c>
      <c r="AC135" s="4" t="n">
        <v>0</v>
      </c>
      <c r="AD135" s="4" t="n">
        <v>0</v>
      </c>
      <c r="AE135" s="4" t="n">
        <v>0</v>
      </c>
      <c r="AF135" s="3" t="n">
        <v>0</v>
      </c>
      <c r="AG135" s="3" t="inlineStr"/>
    </row>
    <row r="136">
      <c r="A136" s="3" t="inlineStr">
        <is>
          <t>B052</t>
        </is>
      </c>
      <c r="B136" s="3" t="inlineStr">
        <is>
          <t>Blockchain</t>
        </is>
      </c>
      <c r="C136" s="3" t="inlineStr">
        <is>
          <t>Theme 3</t>
        </is>
      </c>
      <c r="D136" s="3" t="inlineStr">
        <is>
          <t>Pu Guoli, Li Mengqing &amp; Qiao Jianqi, 2025</t>
        </is>
      </c>
      <c r="E136" s="3" t="inlineStr">
        <is>
          <t xml:space="preserve">Manufacturing </t>
        </is>
      </c>
      <c r="F136" s="3" t="inlineStr">
        <is>
          <t>Dynamic Resource-Based View); Supply Chain Resilience Theory</t>
        </is>
      </c>
      <c r="G136" s="3" t="inlineStr">
        <is>
          <t>Adaptability</t>
        </is>
      </c>
      <c r="H136" s="3" t="inlineStr">
        <is>
          <t>Cross-sectional single-source survey</t>
        </is>
      </c>
      <c r="I136" s="3" t="n">
        <v>405</v>
      </c>
      <c r="J136" s="4" t="n">
        <v>0</v>
      </c>
      <c r="K136" s="4" t="n">
        <v>1</v>
      </c>
      <c r="L136" s="4" t="n">
        <v>0</v>
      </c>
      <c r="M136" s="4" t="n">
        <v>0</v>
      </c>
      <c r="N136" s="4" t="n">
        <v>1</v>
      </c>
      <c r="O136" s="3">
        <f>IF(COUNT(J136:N136)=0,"",SUM(J136:N136))</f>
        <v/>
      </c>
      <c r="P136" s="3">
        <f>IF(O136="","Not appraised",IF(O136&gt;=Summary!$C$4,"High",IF(O136&gt;=Summary!$C$5,"Moderate","Low")))</f>
        <v/>
      </c>
      <c r="Q136" s="4" t="n">
        <v>0</v>
      </c>
      <c r="R136" s="4" t="n">
        <v>1</v>
      </c>
      <c r="S136" s="4" t="n">
        <v>0</v>
      </c>
      <c r="T136" s="4" t="n">
        <v>0</v>
      </c>
      <c r="U136" s="4" t="n">
        <v>1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1</v>
      </c>
      <c r="AB136" s="4" t="n">
        <v>1</v>
      </c>
      <c r="AC136" s="4" t="n">
        <v>1</v>
      </c>
      <c r="AD136" s="4" t="n">
        <v>0</v>
      </c>
      <c r="AE136" s="4" t="n">
        <v>1</v>
      </c>
      <c r="AF136" s="3" t="n">
        <v>0</v>
      </c>
      <c r="AG136" s="3" t="inlineStr"/>
    </row>
    <row r="137">
      <c r="A137" s="3" t="inlineStr">
        <is>
          <t>B053</t>
        </is>
      </c>
      <c r="B137" s="3" t="inlineStr">
        <is>
          <t>Blockchain</t>
        </is>
      </c>
      <c r="C137" s="3" t="inlineStr">
        <is>
          <t>Theme 1</t>
        </is>
      </c>
      <c r="D137" s="3" t="inlineStr">
        <is>
          <t>Cai et al., 2023</t>
        </is>
      </c>
      <c r="E137" s="3" t="inlineStr">
        <is>
          <t xml:space="preserve">Multi-industry </t>
        </is>
      </c>
      <c r="F137" s="3" t="inlineStr">
        <is>
          <t>Extended Technology Acceptance Model (TAM), Supply Chain Risk Management</t>
        </is>
      </c>
      <c r="G137" s="3" t="inlineStr">
        <is>
          <t>Resilience</t>
        </is>
      </c>
      <c r="H137" s="3" t="inlineStr">
        <is>
          <t>Cross-sectional single-source survey</t>
        </is>
      </c>
      <c r="I137" s="3" t="n">
        <v>203</v>
      </c>
      <c r="J137" s="4" t="n">
        <v>0</v>
      </c>
      <c r="K137" s="4" t="n">
        <v>1</v>
      </c>
      <c r="L137" s="4" t="n">
        <v>0</v>
      </c>
      <c r="M137" s="4" t="n">
        <v>0</v>
      </c>
      <c r="N137" s="4" t="n">
        <v>0</v>
      </c>
      <c r="O137" s="3">
        <f>IF(COUNT(J137:N137)=0,"",SUM(J137:N137))</f>
        <v/>
      </c>
      <c r="P137" s="3">
        <f>IF(O137="","Not appraised",IF(O137&gt;=Summary!$C$4,"High",IF(O137&gt;=Summary!$C$5,"Moderate","Low")))</f>
        <v/>
      </c>
      <c r="Q137" s="4" t="n">
        <v>1</v>
      </c>
      <c r="R137" s="4" t="n">
        <v>1</v>
      </c>
      <c r="S137" s="4" t="n">
        <v>0</v>
      </c>
      <c r="T137" s="4" t="n">
        <v>1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 t="n">
        <v>1</v>
      </c>
      <c r="AC137" s="4" t="n">
        <v>0</v>
      </c>
      <c r="AD137" s="4" t="n">
        <v>0</v>
      </c>
      <c r="AE137" s="4" t="n">
        <v>0</v>
      </c>
      <c r="AF137" s="3" t="n">
        <v>0</v>
      </c>
      <c r="AG137" s="3" t="inlineStr"/>
    </row>
    <row r="138">
      <c r="A138" s="3" t="inlineStr">
        <is>
          <t>B054</t>
        </is>
      </c>
      <c r="B138" s="3" t="inlineStr">
        <is>
          <t>Blockchain</t>
        </is>
      </c>
      <c r="C138" s="3" t="inlineStr">
        <is>
          <t>Theme 4</t>
        </is>
      </c>
      <c r="D138" s="3" t="inlineStr">
        <is>
          <t>Al-Khatib, 2025</t>
        </is>
      </c>
      <c r="E138" s="3" t="inlineStr">
        <is>
          <t xml:space="preserve">Agriculture </t>
        </is>
      </c>
      <c r="F138" s="3" t="inlineStr">
        <is>
          <t xml:space="preserve">Information Processing Theory </t>
        </is>
      </c>
      <c r="G138" s="3" t="inlineStr">
        <is>
          <t>Adaptability</t>
        </is>
      </c>
      <c r="H138" s="3" t="inlineStr">
        <is>
          <t>Cross-sectional single-source survey</t>
        </is>
      </c>
      <c r="I138" s="3" t="n">
        <v>221</v>
      </c>
      <c r="J138" s="4" t="n">
        <v>0</v>
      </c>
      <c r="K138" s="4" t="n">
        <v>1</v>
      </c>
      <c r="L138" s="4" t="n">
        <v>0</v>
      </c>
      <c r="M138" s="4" t="n">
        <v>0</v>
      </c>
      <c r="N138" s="4" t="n">
        <v>0</v>
      </c>
      <c r="O138" s="3">
        <f>IF(COUNT(J138:N138)=0,"",SUM(J138:N138))</f>
        <v/>
      </c>
      <c r="P138" s="3">
        <f>IF(O138="","Not appraised",IF(O138&gt;=Summary!$C$4,"High",IF(O138&gt;=Summary!$C$5,"Moderate","Low")))</f>
        <v/>
      </c>
      <c r="Q138" s="4" t="n">
        <v>1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n">
        <v>0</v>
      </c>
      <c r="AC138" s="4" t="n">
        <v>1</v>
      </c>
      <c r="AD138" s="4" t="n">
        <v>0</v>
      </c>
      <c r="AE138" s="4" t="n">
        <v>1</v>
      </c>
      <c r="AF138" s="3" t="n">
        <v>0</v>
      </c>
      <c r="AG138" s="3" t="inlineStr"/>
    </row>
    <row r="139">
      <c r="A139" s="3" t="inlineStr">
        <is>
          <t>B055</t>
        </is>
      </c>
      <c r="B139" s="3" t="inlineStr">
        <is>
          <t>Blockchain</t>
        </is>
      </c>
      <c r="C139" s="3" t="inlineStr">
        <is>
          <t>Theme 4</t>
        </is>
      </c>
      <c r="D139" s="3" t="inlineStr">
        <is>
          <t>Alvarenga et al., 2023</t>
        </is>
      </c>
      <c r="E139" s="3" t="inlineStr">
        <is>
          <t xml:space="preserve">Multi-industry </t>
        </is>
      </c>
      <c r="F139" s="3" t="inlineStr">
        <is>
          <t>Knowledge-Based View; Information Processing Theory; Contingent Resource-Based View</t>
        </is>
      </c>
      <c r="G139" s="3" t="inlineStr">
        <is>
          <t>Robustness</t>
        </is>
      </c>
      <c r="H139" s="3" t="inlineStr">
        <is>
          <t>Cross-sectional single-source survey</t>
        </is>
      </c>
      <c r="I139" s="3" t="n">
        <v>257</v>
      </c>
      <c r="J139" s="4" t="n">
        <v>0</v>
      </c>
      <c r="K139" s="4" t="n">
        <v>1</v>
      </c>
      <c r="L139" s="4" t="n">
        <v>0</v>
      </c>
      <c r="M139" s="4" t="n">
        <v>0</v>
      </c>
      <c r="N139" s="4" t="n">
        <v>0</v>
      </c>
      <c r="O139" s="3">
        <f>IF(COUNT(J139:N139)=0,"",SUM(J139:N139))</f>
        <v/>
      </c>
      <c r="P139" s="3">
        <f>IF(O139="","Not appraised",IF(O139&gt;=Summary!$C$4,"High",IF(O139&gt;=Summary!$C$5,"Moderate","Low")))</f>
        <v/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1</v>
      </c>
      <c r="Y139" s="4" t="n">
        <v>0</v>
      </c>
      <c r="Z139" s="4" t="n">
        <v>0</v>
      </c>
      <c r="AA139" s="4" t="n">
        <v>0</v>
      </c>
      <c r="AB139" s="4" t="n">
        <v>0</v>
      </c>
      <c r="AC139" s="4" t="n">
        <v>0</v>
      </c>
      <c r="AD139" s="4" t="n">
        <v>0</v>
      </c>
      <c r="AE139" s="4" t="n">
        <v>0</v>
      </c>
      <c r="AF139" s="3" t="n">
        <v>0</v>
      </c>
      <c r="AG139" s="3" t="inlineStr"/>
    </row>
    <row r="140">
      <c r="A140" s="3" t="inlineStr">
        <is>
          <t>B056</t>
        </is>
      </c>
      <c r="B140" s="3" t="inlineStr">
        <is>
          <t>Blockchain</t>
        </is>
      </c>
      <c r="C140" s="3" t="inlineStr">
        <is>
          <t>Theme 1</t>
        </is>
      </c>
      <c r="D140" s="3" t="inlineStr">
        <is>
          <t>Khan et al., 2025</t>
        </is>
      </c>
      <c r="E140" s="3" t="inlineStr">
        <is>
          <t xml:space="preserve">Manufacturing </t>
        </is>
      </c>
      <c r="F140" s="3" t="inlineStr">
        <is>
          <t>Organizational Information Processing Theory (primary); Dynamic Capability View</t>
        </is>
      </c>
      <c r="G140" s="3" t="inlineStr">
        <is>
          <t>Adaptability</t>
        </is>
      </c>
      <c r="H140" s="3" t="inlineStr">
        <is>
          <t>Cross-sectional single-source survey</t>
        </is>
      </c>
      <c r="I140" s="3" t="n">
        <v>326</v>
      </c>
      <c r="J140" s="4" t="n">
        <v>0</v>
      </c>
      <c r="K140" s="4" t="n">
        <v>1</v>
      </c>
      <c r="L140" s="4" t="n">
        <v>0</v>
      </c>
      <c r="M140" s="4" t="n">
        <v>0</v>
      </c>
      <c r="N140" s="4" t="n">
        <v>0</v>
      </c>
      <c r="O140" s="3">
        <f>IF(COUNT(J140:N140)=0,"",SUM(J140:N140))</f>
        <v/>
      </c>
      <c r="P140" s="3">
        <f>IF(O140="","Not appraised",IF(O140&gt;=Summary!$C$4,"High",IF(O140&gt;=Summary!$C$5,"Moderate","Low")))</f>
        <v/>
      </c>
      <c r="Q140" s="4" t="n">
        <v>1</v>
      </c>
      <c r="R140" s="4" t="n">
        <v>1</v>
      </c>
      <c r="S140" s="4" t="n">
        <v>0</v>
      </c>
      <c r="T140" s="4" t="n">
        <v>0</v>
      </c>
      <c r="U140" s="4" t="n">
        <v>1</v>
      </c>
      <c r="V140" s="4" t="n">
        <v>0</v>
      </c>
      <c r="W140" s="4" t="n">
        <v>0</v>
      </c>
      <c r="X140" s="4" t="n">
        <v>1</v>
      </c>
      <c r="Y140" s="4" t="n">
        <v>0</v>
      </c>
      <c r="Z140" s="4" t="n">
        <v>1</v>
      </c>
      <c r="AA140" s="4" t="n">
        <v>0</v>
      </c>
      <c r="AB140" s="4" t="n">
        <v>0</v>
      </c>
      <c r="AC140" s="4" t="n">
        <v>1</v>
      </c>
      <c r="AD140" s="4" t="n">
        <v>1</v>
      </c>
      <c r="AE140" s="4" t="n">
        <v>0</v>
      </c>
      <c r="AF140" s="3" t="n">
        <v>0</v>
      </c>
      <c r="AG140" s="3" t="inlineStr"/>
    </row>
    <row r="141">
      <c r="A141" s="3" t="inlineStr">
        <is>
          <t>B057</t>
        </is>
      </c>
      <c r="B141" s="3" t="inlineStr">
        <is>
          <t>Blockchain</t>
        </is>
      </c>
      <c r="C141" s="3" t="inlineStr">
        <is>
          <t>Theme 4</t>
        </is>
      </c>
      <c r="D141" s="3" t="inlineStr">
        <is>
          <t>Metwally et al., 2024</t>
        </is>
      </c>
      <c r="E141" s="3" t="inlineStr">
        <is>
          <t xml:space="preserve">Manufacturing </t>
        </is>
      </c>
      <c r="F141" s="3" t="inlineStr">
        <is>
          <t>Information Processing Theory</t>
        </is>
      </c>
      <c r="G141" s="3" t="inlineStr">
        <is>
          <t>Robustness</t>
        </is>
      </c>
      <c r="H141" s="3" t="inlineStr">
        <is>
          <t>Cross-sectional single-source survey</t>
        </is>
      </c>
      <c r="I141" s="3" t="n">
        <v>292</v>
      </c>
      <c r="J141" s="4" t="n">
        <v>0</v>
      </c>
      <c r="K141" s="4" t="n">
        <v>1</v>
      </c>
      <c r="L141" s="4" t="n">
        <v>0</v>
      </c>
      <c r="M141" s="4" t="n">
        <v>0</v>
      </c>
      <c r="N141" s="4" t="n">
        <v>0</v>
      </c>
      <c r="O141" s="3">
        <f>IF(COUNT(J141:N141)=0,"",SUM(J141:N141))</f>
        <v/>
      </c>
      <c r="P141" s="3">
        <f>IF(O141="","Not appraised",IF(O141&gt;=Summary!$C$4,"High",IF(O141&gt;=Summary!$C$5,"Moderate","Low")))</f>
        <v/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1</v>
      </c>
      <c r="Y141" s="4" t="n">
        <v>0</v>
      </c>
      <c r="Z141" s="4" t="n">
        <v>0</v>
      </c>
      <c r="AA141" s="4" t="n">
        <v>0</v>
      </c>
      <c r="AB141" s="4" t="n">
        <v>0</v>
      </c>
      <c r="AC141" s="4" t="n">
        <v>1</v>
      </c>
      <c r="AD141" s="4" t="n">
        <v>0</v>
      </c>
      <c r="AE141" s="4" t="n">
        <v>0</v>
      </c>
      <c r="AF141" s="3" t="n">
        <v>0</v>
      </c>
      <c r="AG141" s="3" t="inlineStr"/>
    </row>
    <row r="142">
      <c r="A142" s="3" t="inlineStr">
        <is>
          <t>B058</t>
        </is>
      </c>
      <c r="B142" s="3" t="inlineStr">
        <is>
          <t>Blockchain</t>
        </is>
      </c>
      <c r="C142" s="3" t="inlineStr">
        <is>
          <t>Theme 1</t>
        </is>
      </c>
      <c r="D142" s="3" t="inlineStr">
        <is>
          <t>Li et al., 2025</t>
        </is>
      </c>
      <c r="E142" s="3" t="inlineStr">
        <is>
          <t xml:space="preserve">Multi-industry </t>
        </is>
      </c>
      <c r="F142" s="3" t="inlineStr">
        <is>
          <t>Information asymmetry &amp; governance perspective (implicit); crisis resilience logic</t>
        </is>
      </c>
      <c r="G142" s="3" t="inlineStr">
        <is>
          <t>Resilience</t>
        </is>
      </c>
      <c r="H142" s="3" t="inlineStr">
        <is>
          <t>Quasi-experimental / archival / panel</t>
        </is>
      </c>
      <c r="I142" s="3" t="n"/>
      <c r="J142" s="4" t="n">
        <v>1</v>
      </c>
      <c r="K142" s="4" t="n">
        <v>0</v>
      </c>
      <c r="L142" s="4" t="n">
        <v>1</v>
      </c>
      <c r="M142" s="4" t="n">
        <v>1</v>
      </c>
      <c r="N142" s="4" t="n">
        <v>1</v>
      </c>
      <c r="O142" s="3">
        <f>IF(COUNT(J142:N142)=0,"",SUM(J142:N142))</f>
        <v/>
      </c>
      <c r="P142" s="3">
        <f>IF(O142="","Not appraised",IF(O142&gt;=Summary!$C$4,"High",IF(O142&gt;=Summary!$C$5,"Moderate","Low")))</f>
        <v/>
      </c>
      <c r="Q142" s="4" t="n">
        <v>1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 t="n">
        <v>0</v>
      </c>
      <c r="AC142" s="4" t="n">
        <v>0</v>
      </c>
      <c r="AD142" s="4" t="n">
        <v>1</v>
      </c>
      <c r="AE142" s="4" t="n">
        <v>0</v>
      </c>
      <c r="AF142" s="3" t="n">
        <v>0</v>
      </c>
      <c r="AG142" s="3" t="inlineStr">
        <is>
          <t>sample size not in extraction sheet (Q2 scored 0)</t>
        </is>
      </c>
    </row>
    <row r="143">
      <c r="A143" s="3" t="inlineStr">
        <is>
          <t>B059</t>
        </is>
      </c>
      <c r="B143" s="3" t="inlineStr">
        <is>
          <t>Blockchain</t>
        </is>
      </c>
      <c r="C143" s="3" t="inlineStr">
        <is>
          <t>Theme 1</t>
        </is>
      </c>
      <c r="D143" s="3" t="inlineStr">
        <is>
          <t>Xiong et al., 2021</t>
        </is>
      </c>
      <c r="E143" s="3" t="inlineStr">
        <is>
          <t xml:space="preserve">Multi-industry </t>
        </is>
      </c>
      <c r="F143" s="3" t="inlineStr">
        <is>
          <t>Contingency Theory</t>
        </is>
      </c>
      <c r="G143" s="3" t="inlineStr">
        <is>
          <t>Robustness</t>
        </is>
      </c>
      <c r="H143" s="3" t="inlineStr">
        <is>
          <t>Quasi-experimental / archival / panel</t>
        </is>
      </c>
      <c r="I143" s="3" t="n"/>
      <c r="J143" s="4" t="n">
        <v>1</v>
      </c>
      <c r="K143" s="4" t="n">
        <v>0</v>
      </c>
      <c r="L143" s="4" t="n">
        <v>1</v>
      </c>
      <c r="M143" s="4" t="n">
        <v>1</v>
      </c>
      <c r="N143" s="4" t="n">
        <v>1</v>
      </c>
      <c r="O143" s="3">
        <f>IF(COUNT(J143:N143)=0,"",SUM(J143:N143))</f>
        <v/>
      </c>
      <c r="P143" s="3">
        <f>IF(O143="","Not appraised",IF(O143&gt;=Summary!$C$4,"High",IF(O143&gt;=Summary!$C$5,"Moderate","Low")))</f>
        <v/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1</v>
      </c>
      <c r="Z143" s="4" t="n">
        <v>0</v>
      </c>
      <c r="AA143" s="4" t="n">
        <v>0</v>
      </c>
      <c r="AB143" s="4" t="n">
        <v>0</v>
      </c>
      <c r="AC143" s="4" t="n">
        <v>0</v>
      </c>
      <c r="AD143" s="4" t="n">
        <v>0</v>
      </c>
      <c r="AE143" s="4" t="n">
        <v>0</v>
      </c>
      <c r="AF143" s="3" t="n">
        <v>0</v>
      </c>
      <c r="AG143" s="3" t="inlineStr">
        <is>
          <t>sample size not in extraction sheet (Q2 scored 0)</t>
        </is>
      </c>
    </row>
    <row r="144">
      <c r="A144" s="3" t="inlineStr">
        <is>
          <t>B060</t>
        </is>
      </c>
      <c r="B144" s="3" t="inlineStr">
        <is>
          <t>Blockchain</t>
        </is>
      </c>
      <c r="C144" s="3" t="inlineStr">
        <is>
          <t>Theme 1</t>
        </is>
      </c>
      <c r="D144" s="3" t="inlineStr">
        <is>
          <t>Latan et al., 2024</t>
        </is>
      </c>
      <c r="E144" s="3" t="inlineStr">
        <is>
          <t xml:space="preserve">Manufacturing </t>
        </is>
      </c>
      <c r="F144" s="3" t="inlineStr">
        <is>
          <t>Resource-Based View; Triple-A supply chain</t>
        </is>
      </c>
      <c r="G144" s="3" t="inlineStr">
        <is>
          <t>Agility</t>
        </is>
      </c>
      <c r="H144" s="3" t="inlineStr">
        <is>
          <t>Cross-sectional single-source survey</t>
        </is>
      </c>
      <c r="I144" s="3" t="n">
        <v>263</v>
      </c>
      <c r="J144" s="4" t="n">
        <v>0</v>
      </c>
      <c r="K144" s="4" t="n">
        <v>1</v>
      </c>
      <c r="L144" s="4" t="n">
        <v>0</v>
      </c>
      <c r="M144" s="4" t="n">
        <v>0</v>
      </c>
      <c r="N144" s="4" t="n">
        <v>0</v>
      </c>
      <c r="O144" s="3">
        <f>IF(COUNT(J144:N144)=0,"",SUM(J144:N144))</f>
        <v/>
      </c>
      <c r="P144" s="3">
        <f>IF(O144="","Not appraised",IF(O144&gt;=Summary!$C$4,"High",IF(O144&gt;=Summary!$C$5,"Moderate","Low")))</f>
        <v/>
      </c>
      <c r="Q144" s="4" t="n">
        <v>1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1</v>
      </c>
      <c r="AB144" s="4" t="n">
        <v>1</v>
      </c>
      <c r="AC144" s="4" t="n">
        <v>0</v>
      </c>
      <c r="AD144" s="4" t="n">
        <v>0</v>
      </c>
      <c r="AE144" s="4" t="n">
        <v>0</v>
      </c>
      <c r="AF144" s="3" t="n">
        <v>0</v>
      </c>
      <c r="AG144" s="3" t="inlineStr"/>
    </row>
    <row r="145">
      <c r="A145" s="3" t="inlineStr">
        <is>
          <t>B061</t>
        </is>
      </c>
      <c r="B145" s="3" t="inlineStr">
        <is>
          <t>Blockchain</t>
        </is>
      </c>
      <c r="C145" s="3" t="inlineStr">
        <is>
          <t>Theme 3</t>
        </is>
      </c>
      <c r="D145" s="3" t="inlineStr">
        <is>
          <t>Javed et al., 2024</t>
        </is>
      </c>
      <c r="E145" s="3" t="inlineStr">
        <is>
          <t xml:space="preserve">Manufacturing </t>
        </is>
      </c>
      <c r="F145" s="3" t="inlineStr">
        <is>
          <t>Resource-Based View; Dynamic Capabilities View; Institutional Theory</t>
        </is>
      </c>
      <c r="G145" s="3" t="inlineStr">
        <is>
          <t>Adaptability</t>
        </is>
      </c>
      <c r="H145" s="3" t="inlineStr">
        <is>
          <t>Cross-sectional single-source survey</t>
        </is>
      </c>
      <c r="I145" s="3" t="n">
        <v>301</v>
      </c>
      <c r="J145" s="4" t="n">
        <v>0</v>
      </c>
      <c r="K145" s="4" t="n">
        <v>1</v>
      </c>
      <c r="L145" s="4" t="n">
        <v>0</v>
      </c>
      <c r="M145" s="4" t="n">
        <v>0</v>
      </c>
      <c r="N145" s="4" t="n">
        <v>0</v>
      </c>
      <c r="O145" s="3">
        <f>IF(COUNT(J145:N145)=0,"",SUM(J145:N145))</f>
        <v/>
      </c>
      <c r="P145" s="3">
        <f>IF(O145="","Not appraised",IF(O145&gt;=Summary!$C$4,"High",IF(O145&gt;=Summary!$C$5,"Moderate","Low")))</f>
        <v/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1</v>
      </c>
      <c r="Y145" s="4" t="n">
        <v>0</v>
      </c>
      <c r="Z145" s="4" t="n">
        <v>0</v>
      </c>
      <c r="AA145" s="4" t="n">
        <v>1</v>
      </c>
      <c r="AB145" s="4" t="n">
        <v>1</v>
      </c>
      <c r="AC145" s="4" t="n">
        <v>0</v>
      </c>
      <c r="AD145" s="4" t="n">
        <v>0</v>
      </c>
      <c r="AE145" s="4" t="n">
        <v>0</v>
      </c>
      <c r="AF145" s="3" t="n">
        <v>1</v>
      </c>
      <c r="AG145" s="3" t="inlineStr"/>
    </row>
    <row r="146">
      <c r="A146" s="3" t="inlineStr">
        <is>
          <t>B062</t>
        </is>
      </c>
      <c r="B146" s="3" t="inlineStr">
        <is>
          <t>Blockchain</t>
        </is>
      </c>
      <c r="C146" s="3" t="inlineStr">
        <is>
          <t>Theme 2</t>
        </is>
      </c>
      <c r="D146" s="3" t="inlineStr">
        <is>
          <t>Lingyu Hu ; Jie Zhou ; Justin Zuopeng Zhang ; Abhishek Beh,2023</t>
        </is>
      </c>
      <c r="E146" s="3" t="inlineStr">
        <is>
          <t>manufacturing</t>
        </is>
      </c>
      <c r="F146" s="3" t="inlineStr">
        <is>
          <t xml:space="preserve">Knowledge-Based Theory </t>
        </is>
      </c>
      <c r="G146" s="3" t="inlineStr">
        <is>
          <t>Recovery</t>
        </is>
      </c>
      <c r="H146" s="3" t="inlineStr">
        <is>
          <t>Cross-sectional single-source survey</t>
        </is>
      </c>
      <c r="I146" s="3" t="n">
        <v>203</v>
      </c>
      <c r="J146" s="4" t="n">
        <v>0</v>
      </c>
      <c r="K146" s="4" t="n">
        <v>1</v>
      </c>
      <c r="L146" s="4" t="n">
        <v>0</v>
      </c>
      <c r="M146" s="4" t="n">
        <v>0</v>
      </c>
      <c r="N146" s="4" t="n">
        <v>0</v>
      </c>
      <c r="O146" s="3">
        <f>IF(COUNT(J146:N146)=0,"",SUM(J146:N146))</f>
        <v/>
      </c>
      <c r="P146" s="3">
        <f>IF(O146="","Not appraised",IF(O146&gt;=Summary!$C$4,"High",IF(O146&gt;=Summary!$C$5,"Moderate","Low")))</f>
        <v/>
      </c>
      <c r="Q146" s="4" t="n">
        <v>0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n">
        <v>1</v>
      </c>
      <c r="AC146" s="4" t="n">
        <v>1</v>
      </c>
      <c r="AD146" s="4" t="n">
        <v>1</v>
      </c>
      <c r="AE146" s="4" t="n">
        <v>0</v>
      </c>
      <c r="AF146" s="3" t="n">
        <v>0</v>
      </c>
      <c r="AG146" s="3" t="inlineStr"/>
    </row>
    <row r="147">
      <c r="A147" s="3" t="inlineStr">
        <is>
          <t>B063</t>
        </is>
      </c>
      <c r="B147" s="3" t="inlineStr">
        <is>
          <t>Blockchain</t>
        </is>
      </c>
      <c r="C147" s="3" t="inlineStr">
        <is>
          <t>Theme 2</t>
        </is>
      </c>
      <c r="D147" s="3" t="inlineStr">
        <is>
          <t>Anna Kolmykova, 2022</t>
        </is>
      </c>
      <c r="E147" s="3" t="inlineStr">
        <is>
          <t xml:space="preserve">Multi-industry </t>
        </is>
      </c>
      <c r="F147" s="3" t="inlineStr">
        <is>
          <t>Not stated</t>
        </is>
      </c>
      <c r="G147" s="3" t="inlineStr">
        <is>
          <t>Agility</t>
        </is>
      </c>
      <c r="H147" s="3" t="inlineStr">
        <is>
          <t>Qualitative / case study</t>
        </is>
      </c>
      <c r="I147" s="3" t="n"/>
      <c r="J147" s="4" t="n">
        <v>1</v>
      </c>
      <c r="K147" s="4" t="n">
        <v>0</v>
      </c>
      <c r="L147" s="4" t="n">
        <v>1</v>
      </c>
      <c r="M147" s="4" t="n">
        <v>0</v>
      </c>
      <c r="N147" s="4" t="n">
        <v>1</v>
      </c>
      <c r="O147" s="3">
        <f>IF(COUNT(J147:N147)=0,"",SUM(J147:N147))</f>
        <v/>
      </c>
      <c r="P147" s="3">
        <f>IF(O147="","Not appraised",IF(O147&gt;=Summary!$C$4,"High",IF(O147&gt;=Summary!$C$5,"Moderate","Low")))</f>
        <v/>
      </c>
      <c r="Q147" s="4" t="n">
        <v>0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1</v>
      </c>
      <c r="AB147" s="4" t="n">
        <v>1</v>
      </c>
      <c r="AC147" s="4" t="n">
        <v>0</v>
      </c>
      <c r="AD147" s="4" t="n">
        <v>0</v>
      </c>
      <c r="AE147" s="4" t="n">
        <v>0</v>
      </c>
      <c r="AF147" s="3" t="n">
        <v>0</v>
      </c>
      <c r="AG147" s="3" t="inlineStr"/>
    </row>
    <row r="148">
      <c r="A148" s="3" t="inlineStr">
        <is>
          <t>I001</t>
        </is>
      </c>
      <c r="B148" s="3" t="inlineStr">
        <is>
          <t>Integrated</t>
        </is>
      </c>
      <c r="C148" s="3" t="inlineStr">
        <is>
          <t>Theme 4</t>
        </is>
      </c>
      <c r="D148" s="3" t="inlineStr">
        <is>
          <t>Espahbod et al., 2024</t>
        </is>
      </c>
      <c r="E148" s="3" t="inlineStr">
        <is>
          <t>Manufacturing</t>
        </is>
      </c>
      <c r="F148" s="3" t="inlineStr">
        <is>
          <t>Resource-based view</t>
        </is>
      </c>
      <c r="G148" s="3" t="inlineStr">
        <is>
          <t>Resilience</t>
        </is>
      </c>
      <c r="H148" s="3" t="inlineStr">
        <is>
          <t>Cross-sectional single-source survey</t>
        </is>
      </c>
      <c r="I148" s="3" t="n">
        <v>262</v>
      </c>
      <c r="J148" s="4" t="n">
        <v>0</v>
      </c>
      <c r="K148" s="4" t="n">
        <v>1</v>
      </c>
      <c r="L148" s="4" t="n">
        <v>0</v>
      </c>
      <c r="M148" s="4" t="n">
        <v>0</v>
      </c>
      <c r="N148" s="4" t="n">
        <v>1</v>
      </c>
      <c r="O148" s="3">
        <f>IF(COUNT(J148:N148)=0,"",SUM(J148:N148))</f>
        <v/>
      </c>
      <c r="P148" s="3">
        <f>IF(O148="","Not appraised",IF(O148&gt;=Summary!$C$4,"High",IF(O148&gt;=Summary!$C$5,"Moderate","Low")))</f>
        <v/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1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3" t="n">
        <v>0</v>
      </c>
      <c r="AG148" s="3" t="inlineStr"/>
    </row>
    <row r="149">
      <c r="A149" s="3" t="inlineStr">
        <is>
          <t>I002</t>
        </is>
      </c>
      <c r="B149" s="3" t="inlineStr">
        <is>
          <t>Integrated</t>
        </is>
      </c>
      <c r="C149" s="3" t="inlineStr">
        <is>
          <t>Theme 4</t>
        </is>
      </c>
      <c r="D149" s="3" t="inlineStr">
        <is>
          <t>Rayman, 2025</t>
        </is>
      </c>
      <c r="E149" s="3" t="inlineStr">
        <is>
          <t xml:space="preserve">Cybersecurity </t>
        </is>
      </c>
      <c r="F149" s="3" t="inlineStr">
        <is>
          <t>Practice-based view</t>
        </is>
      </c>
      <c r="G149" s="3" t="inlineStr">
        <is>
          <t>Cyber-resilience</t>
        </is>
      </c>
      <c r="H149" s="3" t="inlineStr">
        <is>
          <t>Experimental (vignette / between-subjects)</t>
        </is>
      </c>
      <c r="I149" s="3" t="n">
        <v>115</v>
      </c>
      <c r="J149" s="4" t="n">
        <v>1</v>
      </c>
      <c r="K149" s="4" t="n">
        <v>1</v>
      </c>
      <c r="L149" s="4" t="n">
        <v>1</v>
      </c>
      <c r="M149" s="4" t="n">
        <v>1</v>
      </c>
      <c r="N149" s="4" t="n">
        <v>1</v>
      </c>
      <c r="O149" s="3">
        <f>IF(COUNT(J149:N149)=0,"",SUM(J149:N149))</f>
        <v/>
      </c>
      <c r="P149" s="3">
        <f>IF(O149="","Not appraised",IF(O149&gt;=Summary!$C$4,"High",IF(O149&gt;=Summary!$C$5,"Moderate","Low")))</f>
        <v/>
      </c>
      <c r="Q149" s="4" t="n">
        <v>0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1</v>
      </c>
      <c r="Y149" s="4" t="n">
        <v>0</v>
      </c>
      <c r="Z149" s="4" t="n">
        <v>0</v>
      </c>
      <c r="AA149" s="4" t="n">
        <v>0</v>
      </c>
      <c r="AB149" s="4" t="n">
        <v>0</v>
      </c>
      <c r="AC149" s="4" t="n">
        <v>1</v>
      </c>
      <c r="AD149" s="4" t="n">
        <v>0</v>
      </c>
      <c r="AE149" s="4" t="n">
        <v>0</v>
      </c>
      <c r="AF149" s="3" t="n">
        <v>0</v>
      </c>
      <c r="AG149" s="3" t="inlineStr"/>
    </row>
    <row r="150">
      <c r="A150" s="3" t="inlineStr">
        <is>
          <t>I003</t>
        </is>
      </c>
      <c r="B150" s="3" t="inlineStr">
        <is>
          <t>Integrated</t>
        </is>
      </c>
      <c r="C150" s="3" t="inlineStr">
        <is>
          <t>Theme 4</t>
        </is>
      </c>
      <c r="D150" s="3" t="inlineStr">
        <is>
          <t>Nazief  Haggag  Kotb  Kholaif, 2023</t>
        </is>
      </c>
      <c r="E150" s="3" t="inlineStr">
        <is>
          <t>Food and beverages</t>
        </is>
      </c>
      <c r="F150" s="3" t="inlineStr">
        <is>
          <t>“social-cognitive,”“stakeholder”; Resource-based view</t>
        </is>
      </c>
      <c r="G150" s="3" t="inlineStr">
        <is>
          <t>Robustness</t>
        </is>
      </c>
      <c r="H150" s="3" t="inlineStr">
        <is>
          <t>Cross-sectional single-source survey</t>
        </is>
      </c>
      <c r="I150" s="3" t="n">
        <v>362</v>
      </c>
      <c r="J150" s="4" t="n">
        <v>0</v>
      </c>
      <c r="K150" s="4" t="n">
        <v>1</v>
      </c>
      <c r="L150" s="4" t="n">
        <v>0</v>
      </c>
      <c r="M150" s="4" t="n">
        <v>0</v>
      </c>
      <c r="N150" s="4" t="n">
        <v>1</v>
      </c>
      <c r="O150" s="3">
        <f>IF(COUNT(J150:N150)=0,"",SUM(J150:N150))</f>
        <v/>
      </c>
      <c r="P150" s="3">
        <f>IF(O150="","Not appraised",IF(O150&gt;=Summary!$C$4,"High",IF(O150&gt;=Summary!$C$5,"Moderate","Low")))</f>
        <v/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1</v>
      </c>
      <c r="Y150" s="4" t="n">
        <v>0</v>
      </c>
      <c r="Z150" s="4" t="n">
        <v>0</v>
      </c>
      <c r="AA150" s="4" t="n">
        <v>0</v>
      </c>
      <c r="AB150" s="4" t="n">
        <v>0</v>
      </c>
      <c r="AC150" s="4" t="n">
        <v>0</v>
      </c>
      <c r="AD150" s="4" t="n">
        <v>0</v>
      </c>
      <c r="AE150" s="4" t="n">
        <v>0</v>
      </c>
      <c r="AF150" s="3" t="n">
        <v>1</v>
      </c>
      <c r="AG150" s="3" t="inlineStr"/>
    </row>
    <row r="151">
      <c r="A151" s="3" t="inlineStr">
        <is>
          <t>I004</t>
        </is>
      </c>
      <c r="B151" s="3" t="inlineStr">
        <is>
          <t>Integrated</t>
        </is>
      </c>
      <c r="C151" s="3" t="inlineStr">
        <is>
          <t>Theme 1</t>
        </is>
      </c>
      <c r="D151" s="3" t="inlineStr">
        <is>
          <t>Nevin Youssef  (2023)</t>
        </is>
      </c>
      <c r="E151" s="3" t="inlineStr">
        <is>
          <t>Chemical and Cosmetic Industries</t>
        </is>
      </c>
      <c r="F151" s="3" t="inlineStr">
        <is>
          <t>Resource-Based View; Risk Management Theory</t>
        </is>
      </c>
      <c r="G151" s="3" t="inlineStr">
        <is>
          <t>Risk Management</t>
        </is>
      </c>
      <c r="H151" s="3" t="inlineStr">
        <is>
          <t>Cross-sectional single-source survey</t>
        </is>
      </c>
      <c r="I151" s="3" t="n">
        <v>364</v>
      </c>
      <c r="J151" s="4" t="n">
        <v>0</v>
      </c>
      <c r="K151" s="4" t="n">
        <v>1</v>
      </c>
      <c r="L151" s="4" t="n">
        <v>0</v>
      </c>
      <c r="M151" s="4" t="n">
        <v>0</v>
      </c>
      <c r="N151" s="4" t="n">
        <v>0</v>
      </c>
      <c r="O151" s="3">
        <f>IF(COUNT(J151:N151)=0,"",SUM(J151:N151))</f>
        <v/>
      </c>
      <c r="P151" s="3">
        <f>IF(O151="","Not appraised",IF(O151&gt;=Summary!$C$4,"High",IF(O151&gt;=Summary!$C$5,"Moderate","Low")))</f>
        <v/>
      </c>
      <c r="Q151" s="4" t="n">
        <v>1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1</v>
      </c>
      <c r="Y151" s="4" t="n">
        <v>1</v>
      </c>
      <c r="Z151" s="4" t="n">
        <v>1</v>
      </c>
      <c r="AA151" s="4" t="n">
        <v>0</v>
      </c>
      <c r="AB151" s="4" t="n">
        <v>1</v>
      </c>
      <c r="AC151" s="4" t="n">
        <v>0</v>
      </c>
      <c r="AD151" s="4" t="n">
        <v>0</v>
      </c>
      <c r="AE151" s="4" t="n">
        <v>0</v>
      </c>
      <c r="AF151" s="3" t="n">
        <v>0</v>
      </c>
      <c r="AG151" s="3" t="inlineStr"/>
    </row>
  </sheetData>
  <autoFilter ref="A1:AG1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Table 3b. Mechanism support by evidence quality (appraised studies that examine the mechanism)</t>
        </is>
      </c>
    </row>
    <row r="3" ht="55" customHeight="1">
      <c r="A3" s="11" t="inlineStr">
        <is>
          <t>Factor</t>
        </is>
      </c>
      <c r="B3" s="11" t="inlineStr">
        <is>
          <t>Mechanism</t>
        </is>
      </c>
      <c r="C3" s="11" t="inlineStr">
        <is>
          <t>All studies</t>
        </is>
      </c>
      <c r="D3" s="11" t="inlineStr">
        <is>
          <t>High quality</t>
        </is>
      </c>
      <c r="E3" s="11" t="inlineStr">
        <is>
          <t>Moderate</t>
        </is>
      </c>
      <c r="F3" s="11" t="inlineStr">
        <is>
          <t>Low</t>
        </is>
      </c>
      <c r="G3" s="11" t="inlineStr">
        <is>
          <t>Support: pre-specified (high only)</t>
        </is>
      </c>
      <c r="H3" s="11" t="inlineStr">
        <is>
          <t>High + Moderate</t>
        </is>
      </c>
      <c r="I3" s="11" t="inlineStr">
        <is>
          <t>Support: sensitivity (high + moderate)</t>
        </is>
      </c>
      <c r="J3" s="11" t="inlineStr">
        <is>
          <t>% in High + Moderate</t>
        </is>
      </c>
    </row>
    <row r="4">
      <c r="A4" s="3" t="inlineStr">
        <is>
          <t>F1</t>
        </is>
      </c>
      <c r="B4" s="3" t="inlineStr">
        <is>
          <t>Transparency</t>
        </is>
      </c>
      <c r="C4" s="3">
        <f>COUNTIFS(Appendix_E!$Q$2:$Q$151,1,Appendix_E!$P$2:$P$151,"&lt;&gt;Not appraised")</f>
        <v/>
      </c>
      <c r="D4" s="3">
        <f>COUNTIFS(Appendix_E!$Q$2:$Q$151,1,Appendix_E!$P$2:$P$151,"High")</f>
        <v/>
      </c>
      <c r="E4" s="3">
        <f>COUNTIFS(Appendix_E!$Q$2:$Q$151,1,Appendix_E!$P$2:$P$151,"Moderate")</f>
        <v/>
      </c>
      <c r="F4" s="3">
        <f>COUNTIFS(Appendix_E!$Q$2:$Q$151,1,Appendix_E!$P$2:$P$151,"Low")</f>
        <v/>
      </c>
      <c r="G4" s="3">
        <f>IF(D4&gt;=Summary!$C$6,"Robust",IF(D4&gt;=Summary!$C$7,"Partial","Weak"))</f>
        <v/>
      </c>
      <c r="H4" s="3">
        <f>D4+E4</f>
        <v/>
      </c>
      <c r="I4" s="3">
        <f>IF(H4&gt;=Summary!$C$6,"Robust",IF(H4&gt;=Summary!$C$7,"Partial","Weak"))</f>
        <v/>
      </c>
      <c r="J4" s="10">
        <f>IFERROR(H4/C4,0)</f>
        <v/>
      </c>
    </row>
    <row r="5">
      <c r="A5" s="3" t="inlineStr">
        <is>
          <t>F2</t>
        </is>
      </c>
      <c r="B5" s="3" t="inlineStr">
        <is>
          <t>Traceability</t>
        </is>
      </c>
      <c r="C5" s="3">
        <f>COUNTIFS(Appendix_E!$R$2:$R$151,1,Appendix_E!$P$2:$P$151,"&lt;&gt;Not appraised")</f>
        <v/>
      </c>
      <c r="D5" s="3">
        <f>COUNTIFS(Appendix_E!$R$2:$R$151,1,Appendix_E!$P$2:$P$151,"High")</f>
        <v/>
      </c>
      <c r="E5" s="3">
        <f>COUNTIFS(Appendix_E!$R$2:$R$151,1,Appendix_E!$P$2:$P$151,"Moderate")</f>
        <v/>
      </c>
      <c r="F5" s="3">
        <f>COUNTIFS(Appendix_E!$R$2:$R$151,1,Appendix_E!$P$2:$P$151,"Low")</f>
        <v/>
      </c>
      <c r="G5" s="3">
        <f>IF(D5&gt;=Summary!$C$6,"Robust",IF(D5&gt;=Summary!$C$7,"Partial","Weak"))</f>
        <v/>
      </c>
      <c r="H5" s="3">
        <f>D5+E5</f>
        <v/>
      </c>
      <c r="I5" s="3">
        <f>IF(H5&gt;=Summary!$C$6,"Robust",IF(H5&gt;=Summary!$C$7,"Partial","Weak"))</f>
        <v/>
      </c>
      <c r="J5" s="10">
        <f>IFERROR(H5/C5,0)</f>
        <v/>
      </c>
    </row>
    <row r="6">
      <c r="A6" s="3" t="inlineStr">
        <is>
          <t>F3</t>
        </is>
      </c>
      <c r="B6" s="3" t="inlineStr">
        <is>
          <t>Data integrity</t>
        </is>
      </c>
      <c r="C6" s="3">
        <f>COUNTIFS(Appendix_E!$S$2:$S$151,1,Appendix_E!$P$2:$P$151,"&lt;&gt;Not appraised")</f>
        <v/>
      </c>
      <c r="D6" s="3">
        <f>COUNTIFS(Appendix_E!$S$2:$S$151,1,Appendix_E!$P$2:$P$151,"High")</f>
        <v/>
      </c>
      <c r="E6" s="3">
        <f>COUNTIFS(Appendix_E!$S$2:$S$151,1,Appendix_E!$P$2:$P$151,"Moderate")</f>
        <v/>
      </c>
      <c r="F6" s="3">
        <f>COUNTIFS(Appendix_E!$S$2:$S$151,1,Appendix_E!$P$2:$P$151,"Low")</f>
        <v/>
      </c>
      <c r="G6" s="3">
        <f>IF(D6&gt;=Summary!$C$6,"Robust",IF(D6&gt;=Summary!$C$7,"Partial","Weak"))</f>
        <v/>
      </c>
      <c r="H6" s="3">
        <f>D6+E6</f>
        <v/>
      </c>
      <c r="I6" s="3">
        <f>IF(H6&gt;=Summary!$C$6,"Robust",IF(H6&gt;=Summary!$C$7,"Partial","Weak"))</f>
        <v/>
      </c>
      <c r="J6" s="10">
        <f>IFERROR(H6/C6,0)</f>
        <v/>
      </c>
    </row>
    <row r="7">
      <c r="A7" s="3" t="inlineStr">
        <is>
          <t>F4</t>
        </is>
      </c>
      <c r="B7" s="3" t="inlineStr">
        <is>
          <t>Information sharing</t>
        </is>
      </c>
      <c r="C7" s="3">
        <f>COUNTIFS(Appendix_E!$T$2:$T$151,1,Appendix_E!$P$2:$P$151,"&lt;&gt;Not appraised")</f>
        <v/>
      </c>
      <c r="D7" s="3">
        <f>COUNTIFS(Appendix_E!$T$2:$T$151,1,Appendix_E!$P$2:$P$151,"High")</f>
        <v/>
      </c>
      <c r="E7" s="3">
        <f>COUNTIFS(Appendix_E!$T$2:$T$151,1,Appendix_E!$P$2:$P$151,"Moderate")</f>
        <v/>
      </c>
      <c r="F7" s="3">
        <f>COUNTIFS(Appendix_E!$T$2:$T$151,1,Appendix_E!$P$2:$P$151,"Low")</f>
        <v/>
      </c>
      <c r="G7" s="3">
        <f>IF(D7&gt;=Summary!$C$6,"Robust",IF(D7&gt;=Summary!$C$7,"Partial","Weak"))</f>
        <v/>
      </c>
      <c r="H7" s="3">
        <f>D7+E7</f>
        <v/>
      </c>
      <c r="I7" s="3">
        <f>IF(H7&gt;=Summary!$C$6,"Robust",IF(H7&gt;=Summary!$C$7,"Partial","Weak"))</f>
        <v/>
      </c>
      <c r="J7" s="10">
        <f>IFERROR(H7/C7,0)</f>
        <v/>
      </c>
    </row>
    <row r="8">
      <c r="A8" s="3" t="inlineStr">
        <is>
          <t>F5</t>
        </is>
      </c>
      <c r="B8" s="3" t="inlineStr">
        <is>
          <t>Trust</t>
        </is>
      </c>
      <c r="C8" s="3">
        <f>COUNTIFS(Appendix_E!$U$2:$U$151,1,Appendix_E!$P$2:$P$151,"&lt;&gt;Not appraised")</f>
        <v/>
      </c>
      <c r="D8" s="3">
        <f>COUNTIFS(Appendix_E!$U$2:$U$151,1,Appendix_E!$P$2:$P$151,"High")</f>
        <v/>
      </c>
      <c r="E8" s="3">
        <f>COUNTIFS(Appendix_E!$U$2:$U$151,1,Appendix_E!$P$2:$P$151,"Moderate")</f>
        <v/>
      </c>
      <c r="F8" s="3">
        <f>COUNTIFS(Appendix_E!$U$2:$U$151,1,Appendix_E!$P$2:$P$151,"Low")</f>
        <v/>
      </c>
      <c r="G8" s="3">
        <f>IF(D8&gt;=Summary!$C$6,"Robust",IF(D8&gt;=Summary!$C$7,"Partial","Weak"))</f>
        <v/>
      </c>
      <c r="H8" s="3">
        <f>D8+E8</f>
        <v/>
      </c>
      <c r="I8" s="3">
        <f>IF(H8&gt;=Summary!$C$6,"Robust",IF(H8&gt;=Summary!$C$7,"Partial","Weak"))</f>
        <v/>
      </c>
      <c r="J8" s="10">
        <f>IFERROR(H8/C8,0)</f>
        <v/>
      </c>
    </row>
    <row r="9">
      <c r="A9" s="3" t="inlineStr">
        <is>
          <t>F6</t>
        </is>
      </c>
      <c r="B9" s="3" t="inlineStr">
        <is>
          <t>Risk sensing</t>
        </is>
      </c>
      <c r="C9" s="3">
        <f>COUNTIFS(Appendix_E!$V$2:$V$151,1,Appendix_E!$P$2:$P$151,"&lt;&gt;Not appraised")</f>
        <v/>
      </c>
      <c r="D9" s="3">
        <f>COUNTIFS(Appendix_E!$V$2:$V$151,1,Appendix_E!$P$2:$P$151,"High")</f>
        <v/>
      </c>
      <c r="E9" s="3">
        <f>COUNTIFS(Appendix_E!$V$2:$V$151,1,Appendix_E!$P$2:$P$151,"Moderate")</f>
        <v/>
      </c>
      <c r="F9" s="3">
        <f>COUNTIFS(Appendix_E!$V$2:$V$151,1,Appendix_E!$P$2:$P$151,"Low")</f>
        <v/>
      </c>
      <c r="G9" s="3">
        <f>IF(D9&gt;=Summary!$C$6,"Robust",IF(D9&gt;=Summary!$C$7,"Partial","Weak"))</f>
        <v/>
      </c>
      <c r="H9" s="3">
        <f>D9+E9</f>
        <v/>
      </c>
      <c r="I9" s="3">
        <f>IF(H9&gt;=Summary!$C$6,"Robust",IF(H9&gt;=Summary!$C$7,"Partial","Weak"))</f>
        <v/>
      </c>
      <c r="J9" s="10">
        <f>IFERROR(H9/C9,0)</f>
        <v/>
      </c>
    </row>
    <row r="10">
      <c r="A10" s="3" t="inlineStr">
        <is>
          <t>F7</t>
        </is>
      </c>
      <c r="B10" s="3" t="inlineStr">
        <is>
          <t>Predictive capability</t>
        </is>
      </c>
      <c r="C10" s="3">
        <f>COUNTIFS(Appendix_E!$W$2:$W$151,1,Appendix_E!$P$2:$P$151,"&lt;&gt;Not appraised")</f>
        <v/>
      </c>
      <c r="D10" s="3">
        <f>COUNTIFS(Appendix_E!$W$2:$W$151,1,Appendix_E!$P$2:$P$151,"High")</f>
        <v/>
      </c>
      <c r="E10" s="3">
        <f>COUNTIFS(Appendix_E!$W$2:$W$151,1,Appendix_E!$P$2:$P$151,"Moderate")</f>
        <v/>
      </c>
      <c r="F10" s="3">
        <f>COUNTIFS(Appendix_E!$W$2:$W$151,1,Appendix_E!$P$2:$P$151,"Low")</f>
        <v/>
      </c>
      <c r="G10" s="3">
        <f>IF(D10&gt;=Summary!$C$6,"Robust",IF(D10&gt;=Summary!$C$7,"Partial","Weak"))</f>
        <v/>
      </c>
      <c r="H10" s="3">
        <f>D10+E10</f>
        <v/>
      </c>
      <c r="I10" s="3">
        <f>IF(H10&gt;=Summary!$C$6,"Robust",IF(H10&gt;=Summary!$C$7,"Partial","Weak"))</f>
        <v/>
      </c>
      <c r="J10" s="10">
        <f>IFERROR(H10/C10,0)</f>
        <v/>
      </c>
    </row>
    <row r="11">
      <c r="A11" s="3" t="inlineStr">
        <is>
          <t>F8</t>
        </is>
      </c>
      <c r="B11" s="3" t="inlineStr">
        <is>
          <t>Analytics capability</t>
        </is>
      </c>
      <c r="C11" s="3">
        <f>COUNTIFS(Appendix_E!$X$2:$X$151,1,Appendix_E!$P$2:$P$151,"&lt;&gt;Not appraised")</f>
        <v/>
      </c>
      <c r="D11" s="3">
        <f>COUNTIFS(Appendix_E!$X$2:$X$151,1,Appendix_E!$P$2:$P$151,"High")</f>
        <v/>
      </c>
      <c r="E11" s="3">
        <f>COUNTIFS(Appendix_E!$X$2:$X$151,1,Appendix_E!$P$2:$P$151,"Moderate")</f>
        <v/>
      </c>
      <c r="F11" s="3">
        <f>COUNTIFS(Appendix_E!$X$2:$X$151,1,Appendix_E!$P$2:$P$151,"Low")</f>
        <v/>
      </c>
      <c r="G11" s="3">
        <f>IF(D11&gt;=Summary!$C$6,"Robust",IF(D11&gt;=Summary!$C$7,"Partial","Weak"))</f>
        <v/>
      </c>
      <c r="H11" s="3">
        <f>D11+E11</f>
        <v/>
      </c>
      <c r="I11" s="3">
        <f>IF(H11&gt;=Summary!$C$6,"Robust",IF(H11&gt;=Summary!$C$7,"Partial","Weak"))</f>
        <v/>
      </c>
      <c r="J11" s="10">
        <f>IFERROR(H11/C11,0)</f>
        <v/>
      </c>
    </row>
    <row r="12">
      <c r="A12" s="3" t="inlineStr">
        <is>
          <t>F9</t>
        </is>
      </c>
      <c r="B12" s="3" t="inlineStr">
        <is>
          <t>Supply chain visibility</t>
        </is>
      </c>
      <c r="C12" s="3">
        <f>COUNTIFS(Appendix_E!$Y$2:$Y$151,1,Appendix_E!$P$2:$P$151,"&lt;&gt;Not appraised")</f>
        <v/>
      </c>
      <c r="D12" s="3">
        <f>COUNTIFS(Appendix_E!$Y$2:$Y$151,1,Appendix_E!$P$2:$P$151,"High")</f>
        <v/>
      </c>
      <c r="E12" s="3">
        <f>COUNTIFS(Appendix_E!$Y$2:$Y$151,1,Appendix_E!$P$2:$P$151,"Moderate")</f>
        <v/>
      </c>
      <c r="F12" s="3">
        <f>COUNTIFS(Appendix_E!$Y$2:$Y$151,1,Appendix_E!$P$2:$P$151,"Low")</f>
        <v/>
      </c>
      <c r="G12" s="3">
        <f>IF(D12&gt;=Summary!$C$6,"Robust",IF(D12&gt;=Summary!$C$7,"Partial","Weak"))</f>
        <v/>
      </c>
      <c r="H12" s="3">
        <f>D12+E12</f>
        <v/>
      </c>
      <c r="I12" s="3">
        <f>IF(H12&gt;=Summary!$C$6,"Robust",IF(H12&gt;=Summary!$C$7,"Partial","Weak"))</f>
        <v/>
      </c>
      <c r="J12" s="10">
        <f>IFERROR(H12/C12,0)</f>
        <v/>
      </c>
    </row>
    <row r="13">
      <c r="A13" s="3" t="inlineStr">
        <is>
          <t>F10</t>
        </is>
      </c>
      <c r="B13" s="3" t="inlineStr">
        <is>
          <t>Decision intelligence</t>
        </is>
      </c>
      <c r="C13" s="3">
        <f>COUNTIFS(Appendix_E!$Z$2:$Z$151,1,Appendix_E!$P$2:$P$151,"&lt;&gt;Not appraised")</f>
        <v/>
      </c>
      <c r="D13" s="3">
        <f>COUNTIFS(Appendix_E!$Z$2:$Z$151,1,Appendix_E!$P$2:$P$151,"High")</f>
        <v/>
      </c>
      <c r="E13" s="3">
        <f>COUNTIFS(Appendix_E!$Z$2:$Z$151,1,Appendix_E!$P$2:$P$151,"Moderate")</f>
        <v/>
      </c>
      <c r="F13" s="3">
        <f>COUNTIFS(Appendix_E!$Z$2:$Z$151,1,Appendix_E!$P$2:$P$151,"Low")</f>
        <v/>
      </c>
      <c r="G13" s="3">
        <f>IF(D13&gt;=Summary!$C$6,"Robust",IF(D13&gt;=Summary!$C$7,"Partial","Weak"))</f>
        <v/>
      </c>
      <c r="H13" s="3">
        <f>D13+E13</f>
        <v/>
      </c>
      <c r="I13" s="3">
        <f>IF(H13&gt;=Summary!$C$6,"Robust",IF(H13&gt;=Summary!$C$7,"Partial","Weak"))</f>
        <v/>
      </c>
      <c r="J13" s="10">
        <f>IFERROR(H13/C13,0)</f>
        <v/>
      </c>
    </row>
    <row r="14">
      <c r="A14" s="3" t="inlineStr">
        <is>
          <t>F11</t>
        </is>
      </c>
      <c r="B14" s="3" t="inlineStr">
        <is>
          <t>Collaborative decision-making</t>
        </is>
      </c>
      <c r="C14" s="3">
        <f>COUNTIFS(Appendix_E!$AA$2:$AA$151,1,Appendix_E!$P$2:$P$151,"&lt;&gt;Not appraised")</f>
        <v/>
      </c>
      <c r="D14" s="3">
        <f>COUNTIFS(Appendix_E!$AA$2:$AA$151,1,Appendix_E!$P$2:$P$151,"High")</f>
        <v/>
      </c>
      <c r="E14" s="3">
        <f>COUNTIFS(Appendix_E!$AA$2:$AA$151,1,Appendix_E!$P$2:$P$151,"Moderate")</f>
        <v/>
      </c>
      <c r="F14" s="3">
        <f>COUNTIFS(Appendix_E!$AA$2:$AA$151,1,Appendix_E!$P$2:$P$151,"Low")</f>
        <v/>
      </c>
      <c r="G14" s="3">
        <f>IF(D14&gt;=Summary!$C$6,"Robust",IF(D14&gt;=Summary!$C$7,"Partial","Weak"))</f>
        <v/>
      </c>
      <c r="H14" s="3">
        <f>D14+E14</f>
        <v/>
      </c>
      <c r="I14" s="3">
        <f>IF(H14&gt;=Summary!$C$6,"Robust",IF(H14&gt;=Summary!$C$7,"Partial","Weak"))</f>
        <v/>
      </c>
      <c r="J14" s="10">
        <f>IFERROR(H14/C14,0)</f>
        <v/>
      </c>
    </row>
    <row r="15">
      <c r="A15" s="3" t="inlineStr">
        <is>
          <t>F12</t>
        </is>
      </c>
      <c r="B15" s="3" t="inlineStr">
        <is>
          <t>Agile response</t>
        </is>
      </c>
      <c r="C15" s="3">
        <f>COUNTIFS(Appendix_E!$AB$2:$AB$151,1,Appendix_E!$P$2:$P$151,"&lt;&gt;Not appraised")</f>
        <v/>
      </c>
      <c r="D15" s="3">
        <f>COUNTIFS(Appendix_E!$AB$2:$AB$151,1,Appendix_E!$P$2:$P$151,"High")</f>
        <v/>
      </c>
      <c r="E15" s="3">
        <f>COUNTIFS(Appendix_E!$AB$2:$AB$151,1,Appendix_E!$P$2:$P$151,"Moderate")</f>
        <v/>
      </c>
      <c r="F15" s="3">
        <f>COUNTIFS(Appendix_E!$AB$2:$AB$151,1,Appendix_E!$P$2:$P$151,"Low")</f>
        <v/>
      </c>
      <c r="G15" s="3">
        <f>IF(D15&gt;=Summary!$C$6,"Robust",IF(D15&gt;=Summary!$C$7,"Partial","Weak"))</f>
        <v/>
      </c>
      <c r="H15" s="3">
        <f>D15+E15</f>
        <v/>
      </c>
      <c r="I15" s="3">
        <f>IF(H15&gt;=Summary!$C$6,"Robust",IF(H15&gt;=Summary!$C$7,"Partial","Weak"))</f>
        <v/>
      </c>
      <c r="J15" s="10">
        <f>IFERROR(H15/C15,0)</f>
        <v/>
      </c>
    </row>
    <row r="16">
      <c r="A16" s="3" t="inlineStr">
        <is>
          <t>F13</t>
        </is>
      </c>
      <c r="B16" s="3" t="inlineStr">
        <is>
          <t>Recovery capability</t>
        </is>
      </c>
      <c r="C16" s="3">
        <f>COUNTIFS(Appendix_E!$AC$2:$AC$151,1,Appendix_E!$P$2:$P$151,"&lt;&gt;Not appraised")</f>
        <v/>
      </c>
      <c r="D16" s="3">
        <f>COUNTIFS(Appendix_E!$AC$2:$AC$151,1,Appendix_E!$P$2:$P$151,"High")</f>
        <v/>
      </c>
      <c r="E16" s="3">
        <f>COUNTIFS(Appendix_E!$AC$2:$AC$151,1,Appendix_E!$P$2:$P$151,"Moderate")</f>
        <v/>
      </c>
      <c r="F16" s="3">
        <f>COUNTIFS(Appendix_E!$AC$2:$AC$151,1,Appendix_E!$P$2:$P$151,"Low")</f>
        <v/>
      </c>
      <c r="G16" s="3">
        <f>IF(D16&gt;=Summary!$C$6,"Robust",IF(D16&gt;=Summary!$C$7,"Partial","Weak"))</f>
        <v/>
      </c>
      <c r="H16" s="3">
        <f>D16+E16</f>
        <v/>
      </c>
      <c r="I16" s="3">
        <f>IF(H16&gt;=Summary!$C$6,"Robust",IF(H16&gt;=Summary!$C$7,"Partial","Weak"))</f>
        <v/>
      </c>
      <c r="J16" s="10">
        <f>IFERROR(H16/C16,0)</f>
        <v/>
      </c>
    </row>
    <row r="17">
      <c r="A17" s="3" t="inlineStr">
        <is>
          <t>F14</t>
        </is>
      </c>
      <c r="B17" s="3" t="inlineStr">
        <is>
          <t>Continuity planning</t>
        </is>
      </c>
      <c r="C17" s="3">
        <f>COUNTIFS(Appendix_E!$AD$2:$AD$151,1,Appendix_E!$P$2:$P$151,"&lt;&gt;Not appraised")</f>
        <v/>
      </c>
      <c r="D17" s="3">
        <f>COUNTIFS(Appendix_E!$AD$2:$AD$151,1,Appendix_E!$P$2:$P$151,"High")</f>
        <v/>
      </c>
      <c r="E17" s="3">
        <f>COUNTIFS(Appendix_E!$AD$2:$AD$151,1,Appendix_E!$P$2:$P$151,"Moderate")</f>
        <v/>
      </c>
      <c r="F17" s="3">
        <f>COUNTIFS(Appendix_E!$AD$2:$AD$151,1,Appendix_E!$P$2:$P$151,"Low")</f>
        <v/>
      </c>
      <c r="G17" s="3">
        <f>IF(D17&gt;=Summary!$C$6,"Robust",IF(D17&gt;=Summary!$C$7,"Partial","Weak"))</f>
        <v/>
      </c>
      <c r="H17" s="3">
        <f>D17+E17</f>
        <v/>
      </c>
      <c r="I17" s="3">
        <f>IF(H17&gt;=Summary!$C$6,"Robust",IF(H17&gt;=Summary!$C$7,"Partial","Weak"))</f>
        <v/>
      </c>
      <c r="J17" s="10">
        <f>IFERROR(H17/C17,0)</f>
        <v/>
      </c>
    </row>
    <row r="18">
      <c r="A18" s="3" t="inlineStr">
        <is>
          <t>F15</t>
        </is>
      </c>
      <c r="B18" s="3" t="inlineStr">
        <is>
          <t>Organizational learning</t>
        </is>
      </c>
      <c r="C18" s="3">
        <f>COUNTIFS(Appendix_E!$AE$2:$AE$151,1,Appendix_E!$P$2:$P$151,"&lt;&gt;Not appraised")</f>
        <v/>
      </c>
      <c r="D18" s="3">
        <f>COUNTIFS(Appendix_E!$AE$2:$AE$151,1,Appendix_E!$P$2:$P$151,"High")</f>
        <v/>
      </c>
      <c r="E18" s="3">
        <f>COUNTIFS(Appendix_E!$AE$2:$AE$151,1,Appendix_E!$P$2:$P$151,"Moderate")</f>
        <v/>
      </c>
      <c r="F18" s="3">
        <f>COUNTIFS(Appendix_E!$AE$2:$AE$151,1,Appendix_E!$P$2:$P$151,"Low")</f>
        <v/>
      </c>
      <c r="G18" s="3">
        <f>IF(D18&gt;=Summary!$C$6,"Robust",IF(D18&gt;=Summary!$C$7,"Partial","Weak"))</f>
        <v/>
      </c>
      <c r="H18" s="3">
        <f>D18+E18</f>
        <v/>
      </c>
      <c r="I18" s="3">
        <f>IF(H18&gt;=Summary!$C$6,"Robust",IF(H18&gt;=Summary!$C$7,"Partial","Weak"))</f>
        <v/>
      </c>
      <c r="J18" s="10">
        <f>IFERROR(H18/C18,0)</f>
        <v/>
      </c>
    </row>
    <row r="20">
      <c r="A20" s="12" t="inlineStr">
        <is>
          <t>Note. A study is counted when the mechanism appears in its extracted inputs, mediators/moderators, outputs, key findings or resilience dimension (keyword coding). Counts show that a study examines the mechanism, not that its effect was significant or positive.</t>
        </is>
      </c>
    </row>
    <row r="21"/>
    <row r="22"/>
  </sheetData>
  <mergeCells count="1">
    <mergeCell ref="A20:J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2026-10-06T12:50:12Z</dcterms:created>
  <dcterms:modified xsi:type="dcterms:W3CDTF">2026-10-06T12:50:12Z</dcterms:modified>
</cp:coreProperties>
</file>